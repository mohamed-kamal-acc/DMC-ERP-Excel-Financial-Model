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A-Dell\Desktop\"/>
    </mc:Choice>
  </mc:AlternateContent>
  <xr:revisionPtr revIDLastSave="0" documentId="13_ncr:1_{4D587401-BB93-4167-9EA7-FEFBB800B361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DMC_NAVIGATION" sheetId="1" r:id="rId1"/>
    <sheet name="INDEX_User_Guide" sheetId="2" r:id="rId2"/>
    <sheet name="TB_CBE_Rates" sheetId="3" r:id="rId3"/>
    <sheet name="TB_Suppliers_Master" sheetId="4" r:id="rId4"/>
    <sheet name="TB_Clients_Master" sheetId="5" r:id="rId5"/>
    <sheet name="TB_Hotels_Master" sheetId="6" r:id="rId6"/>
    <sheet name="TB_Reps_Master" sheetId="7" r:id="rId7"/>
    <sheet name="TB_Master_Bookings" sheetId="8" r:id="rId8"/>
    <sheet name="TB_Hotel_Accruals" sheetId="9" r:id="rId9"/>
    <sheet name="TB_Excursions_Sales" sheetId="10" r:id="rId10"/>
    <sheet name="TB_Cash_Rep_Reconciliation" sheetId="11" r:id="rId11"/>
    <sheet name="TB_AP_Invoices" sheetId="12" r:id="rId12"/>
    <sheet name="TB_Bank_Reconciliation" sheetId="13" r:id="rId13"/>
    <sheet name="TB_Budget_vs_Actual" sheetId="14" r:id="rId14"/>
    <sheet name="TB_Audit_Trail" sheetId="15" r:id="rId15"/>
    <sheet name="TB_Dimensions" sheetId="16" r:id="rId16"/>
    <sheet name="TB_Golden_Report" sheetId="17" r:id="rId17"/>
    <sheet name="TB_Migration_Plan" sheetId="18" r:id="rId18"/>
    <sheet name="TB_COA" sheetId="19" r:id="rId19"/>
    <sheet name="TB_General_Journal" sheetId="20" r:id="rId20"/>
    <sheet name="TB_Trial_Balance" sheetId="21" r:id="rId21"/>
    <sheet name="TB_WHT_Quarterly" sheetId="22" r:id="rId22"/>
    <sheet name="TB_ETA_Integration" sheetId="23" r:id="rId23"/>
    <sheet name="TB_Income_Statement" sheetId="24" r:id="rId24"/>
    <sheet name="TB_Balance_Sheet" sheetId="25" r:id="rId2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9" i="21" l="1"/>
  <c r="B48" i="21"/>
  <c r="A48" i="21"/>
  <c r="C48" i="21" s="1"/>
  <c r="E47" i="21"/>
  <c r="D47" i="21"/>
  <c r="G47" i="21" s="1"/>
  <c r="H47" i="21" s="1"/>
  <c r="C47" i="21"/>
  <c r="A47" i="21"/>
  <c r="B47" i="21" s="1"/>
  <c r="D46" i="21"/>
  <c r="C46" i="21"/>
  <c r="B46" i="21"/>
  <c r="A46" i="21"/>
  <c r="E46" i="21" s="1"/>
  <c r="G46" i="21" s="1"/>
  <c r="H46" i="21" s="1"/>
  <c r="E45" i="21"/>
  <c r="C45" i="21"/>
  <c r="B45" i="21"/>
  <c r="A45" i="21"/>
  <c r="D45" i="21" s="1"/>
  <c r="G45" i="21" s="1"/>
  <c r="H45" i="21" s="1"/>
  <c r="E44" i="21"/>
  <c r="A44" i="21"/>
  <c r="C44" i="21" s="1"/>
  <c r="A43" i="21"/>
  <c r="D42" i="21"/>
  <c r="G42" i="21" s="1"/>
  <c r="H42" i="21" s="1"/>
  <c r="C42" i="21"/>
  <c r="B42" i="21"/>
  <c r="A42" i="21"/>
  <c r="E42" i="21" s="1"/>
  <c r="A41" i="21"/>
  <c r="E40" i="21"/>
  <c r="D40" i="21"/>
  <c r="G40" i="21" s="1"/>
  <c r="H40" i="21" s="1"/>
  <c r="B40" i="21"/>
  <c r="A40" i="21"/>
  <c r="C40" i="21" s="1"/>
  <c r="E39" i="21"/>
  <c r="D39" i="21"/>
  <c r="G39" i="21" s="1"/>
  <c r="H39" i="21" s="1"/>
  <c r="A39" i="21"/>
  <c r="B39" i="21" s="1"/>
  <c r="D38" i="21"/>
  <c r="C38" i="21"/>
  <c r="B38" i="21"/>
  <c r="A38" i="21"/>
  <c r="E38" i="21" s="1"/>
  <c r="G38" i="21" s="1"/>
  <c r="H38" i="21" s="1"/>
  <c r="E37" i="21"/>
  <c r="C37" i="21"/>
  <c r="A37" i="21"/>
  <c r="D37" i="21" s="1"/>
  <c r="G37" i="21" s="1"/>
  <c r="H37" i="21" s="1"/>
  <c r="E36" i="21"/>
  <c r="A36" i="21"/>
  <c r="C36" i="21" s="1"/>
  <c r="A35" i="21"/>
  <c r="D34" i="21"/>
  <c r="G34" i="21" s="1"/>
  <c r="H34" i="21" s="1"/>
  <c r="C34" i="21"/>
  <c r="B34" i="21"/>
  <c r="A34" i="21"/>
  <c r="E34" i="21" s="1"/>
  <c r="A33" i="21"/>
  <c r="E32" i="21"/>
  <c r="D32" i="21"/>
  <c r="G32" i="21" s="1"/>
  <c r="H32" i="21" s="1"/>
  <c r="B32" i="21"/>
  <c r="A32" i="21"/>
  <c r="C32" i="21" s="1"/>
  <c r="E31" i="21"/>
  <c r="D31" i="21"/>
  <c r="G31" i="21" s="1"/>
  <c r="H31" i="21" s="1"/>
  <c r="A31" i="21"/>
  <c r="B31" i="21" s="1"/>
  <c r="D30" i="21"/>
  <c r="C30" i="21"/>
  <c r="B30" i="21"/>
  <c r="A30" i="21"/>
  <c r="E30" i="21" s="1"/>
  <c r="G30" i="21" s="1"/>
  <c r="H30" i="21" s="1"/>
  <c r="C29" i="21"/>
  <c r="A29" i="21"/>
  <c r="D29" i="21" s="1"/>
  <c r="A28" i="21"/>
  <c r="C27" i="21"/>
  <c r="A27" i="21"/>
  <c r="D26" i="21"/>
  <c r="G26" i="21" s="1"/>
  <c r="H26" i="21" s="1"/>
  <c r="C26" i="21"/>
  <c r="B26" i="21"/>
  <c r="A26" i="21"/>
  <c r="E26" i="21" s="1"/>
  <c r="B25" i="21"/>
  <c r="A25" i="21"/>
  <c r="D24" i="21"/>
  <c r="B24" i="21"/>
  <c r="A24" i="21"/>
  <c r="C24" i="21" s="1"/>
  <c r="E23" i="21"/>
  <c r="D23" i="21"/>
  <c r="G23" i="21" s="1"/>
  <c r="H23" i="21" s="1"/>
  <c r="A23" i="21"/>
  <c r="B23" i="21" s="1"/>
  <c r="D22" i="21"/>
  <c r="C22" i="21"/>
  <c r="B22" i="21"/>
  <c r="A22" i="21"/>
  <c r="E22" i="21" s="1"/>
  <c r="G22" i="21" s="1"/>
  <c r="H22" i="21" s="1"/>
  <c r="E21" i="21"/>
  <c r="C21" i="21"/>
  <c r="A21" i="21"/>
  <c r="D21" i="21" s="1"/>
  <c r="E20" i="21"/>
  <c r="A20" i="21"/>
  <c r="A19" i="21"/>
  <c r="D18" i="21"/>
  <c r="G18" i="21" s="1"/>
  <c r="H18" i="21" s="1"/>
  <c r="C18" i="21"/>
  <c r="B18" i="21"/>
  <c r="A18" i="21"/>
  <c r="E18" i="21" s="1"/>
  <c r="A17" i="21"/>
  <c r="C17" i="21" s="1"/>
  <c r="E16" i="21"/>
  <c r="D16" i="21"/>
  <c r="B16" i="21"/>
  <c r="A16" i="21"/>
  <c r="C16" i="21" s="1"/>
  <c r="A15" i="21"/>
  <c r="E15" i="21" s="1"/>
  <c r="D14" i="21"/>
  <c r="C14" i="21"/>
  <c r="B14" i="21"/>
  <c r="A14" i="21"/>
  <c r="E14" i="21" s="1"/>
  <c r="G14" i="21" s="1"/>
  <c r="H14" i="21" s="1"/>
  <c r="E13" i="21"/>
  <c r="C13" i="21"/>
  <c r="A13" i="21"/>
  <c r="E12" i="21"/>
  <c r="B12" i="21"/>
  <c r="A12" i="21"/>
  <c r="C11" i="21"/>
  <c r="A11" i="21"/>
  <c r="D10" i="21"/>
  <c r="G10" i="21" s="1"/>
  <c r="H10" i="21" s="1"/>
  <c r="C10" i="21"/>
  <c r="B10" i="21"/>
  <c r="A10" i="21"/>
  <c r="E10" i="21" s="1"/>
  <c r="A9" i="21"/>
  <c r="D8" i="21"/>
  <c r="B8" i="21"/>
  <c r="A8" i="21"/>
  <c r="C8" i="21" s="1"/>
  <c r="A7" i="21"/>
  <c r="D6" i="21"/>
  <c r="C6" i="21"/>
  <c r="B6" i="21"/>
  <c r="A6" i="21"/>
  <c r="E6" i="21" s="1"/>
  <c r="G6" i="21" s="1"/>
  <c r="H6" i="21" s="1"/>
  <c r="E5" i="21"/>
  <c r="C5" i="21"/>
  <c r="A5" i="21"/>
  <c r="E4" i="21"/>
  <c r="B4" i="21"/>
  <c r="A4" i="21"/>
  <c r="D137" i="20"/>
  <c r="D136" i="20"/>
  <c r="D135" i="20"/>
  <c r="D134" i="20"/>
  <c r="D133" i="20"/>
  <c r="D132" i="20"/>
  <c r="D131" i="20"/>
  <c r="D130" i="20"/>
  <c r="D129" i="20"/>
  <c r="D128" i="20"/>
  <c r="D127" i="20"/>
  <c r="D126" i="20"/>
  <c r="D125" i="20"/>
  <c r="D124" i="20"/>
  <c r="D123" i="20"/>
  <c r="D122" i="20"/>
  <c r="D121" i="20"/>
  <c r="D120" i="20"/>
  <c r="D119" i="20"/>
  <c r="D118" i="20"/>
  <c r="D117" i="20"/>
  <c r="D116" i="20"/>
  <c r="D115" i="20"/>
  <c r="D114" i="20"/>
  <c r="D113" i="20"/>
  <c r="D112" i="20"/>
  <c r="D111" i="20"/>
  <c r="D110" i="20"/>
  <c r="D109" i="20"/>
  <c r="D108" i="20"/>
  <c r="D107" i="20"/>
  <c r="D106" i="20"/>
  <c r="D105" i="20"/>
  <c r="D104" i="20"/>
  <c r="D103" i="20"/>
  <c r="D102" i="20"/>
  <c r="D101" i="20"/>
  <c r="D100" i="20"/>
  <c r="D99" i="20"/>
  <c r="D98" i="20"/>
  <c r="D97" i="20"/>
  <c r="D96" i="20"/>
  <c r="D95" i="20"/>
  <c r="D94" i="20"/>
  <c r="D93" i="20"/>
  <c r="D92" i="20"/>
  <c r="D91" i="20"/>
  <c r="D90" i="20"/>
  <c r="D89" i="20"/>
  <c r="D88" i="20"/>
  <c r="D87" i="20"/>
  <c r="D86" i="20"/>
  <c r="D85" i="20"/>
  <c r="D84" i="20"/>
  <c r="D83" i="20"/>
  <c r="D82" i="20"/>
  <c r="D81" i="20"/>
  <c r="D80" i="20"/>
  <c r="D79" i="20"/>
  <c r="D78" i="20"/>
  <c r="D77" i="20"/>
  <c r="D76" i="20"/>
  <c r="D75" i="20"/>
  <c r="D74" i="20"/>
  <c r="D73" i="20"/>
  <c r="D72" i="20"/>
  <c r="D71" i="20"/>
  <c r="D70" i="20"/>
  <c r="D69" i="20"/>
  <c r="D68" i="20"/>
  <c r="D67" i="20"/>
  <c r="D66" i="20"/>
  <c r="D65" i="20"/>
  <c r="D64" i="20"/>
  <c r="D63" i="20"/>
  <c r="D62" i="20"/>
  <c r="D61" i="20"/>
  <c r="D60" i="20"/>
  <c r="D59" i="20"/>
  <c r="D58" i="20"/>
  <c r="D57" i="20"/>
  <c r="D56" i="20"/>
  <c r="D55" i="20"/>
  <c r="D54" i="20"/>
  <c r="D53" i="20"/>
  <c r="D52" i="20"/>
  <c r="D51" i="20"/>
  <c r="D50" i="20"/>
  <c r="D49" i="20"/>
  <c r="D48" i="20"/>
  <c r="D47" i="20"/>
  <c r="D46" i="20"/>
  <c r="D45" i="20"/>
  <c r="D44" i="20"/>
  <c r="D43" i="20"/>
  <c r="D42" i="20"/>
  <c r="D41" i="20"/>
  <c r="D40" i="20"/>
  <c r="D39" i="20"/>
  <c r="D38" i="20"/>
  <c r="D37" i="20"/>
  <c r="D36" i="20"/>
  <c r="D35" i="20"/>
  <c r="D34" i="20"/>
  <c r="D33" i="20"/>
  <c r="D32" i="20"/>
  <c r="D31" i="20"/>
  <c r="D30" i="20"/>
  <c r="D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D4" i="20"/>
  <c r="B13" i="17"/>
  <c r="A13" i="17"/>
  <c r="B12" i="17"/>
  <c r="A12" i="17"/>
  <c r="B11" i="17"/>
  <c r="A11" i="17"/>
  <c r="B10" i="17"/>
  <c r="A10" i="17"/>
  <c r="B9" i="17"/>
  <c r="A9" i="17"/>
  <c r="B8" i="17"/>
  <c r="A8" i="17"/>
  <c r="B7" i="17"/>
  <c r="A7" i="17"/>
  <c r="B6" i="17"/>
  <c r="A6" i="17"/>
  <c r="B5" i="17"/>
  <c r="A5" i="17"/>
  <c r="B4" i="17"/>
  <c r="A4" i="17"/>
  <c r="L14" i="14"/>
  <c r="H14" i="14"/>
  <c r="G14" i="14"/>
  <c r="I14" i="14" s="1"/>
  <c r="L13" i="14"/>
  <c r="G13" i="14"/>
  <c r="L12" i="14"/>
  <c r="G12" i="14"/>
  <c r="L11" i="14"/>
  <c r="H11" i="14"/>
  <c r="G11" i="14"/>
  <c r="I11" i="14" s="1"/>
  <c r="L10" i="14"/>
  <c r="G10" i="14"/>
  <c r="L9" i="14"/>
  <c r="G9" i="14"/>
  <c r="L8" i="14"/>
  <c r="G8" i="14"/>
  <c r="L7" i="14"/>
  <c r="G7" i="14"/>
  <c r="L6" i="14"/>
  <c r="G6" i="14"/>
  <c r="L5" i="14"/>
  <c r="G5" i="14"/>
  <c r="L4" i="14"/>
  <c r="G4" i="14"/>
  <c r="B8" i="12"/>
  <c r="C8" i="12" s="1"/>
  <c r="B6" i="12"/>
  <c r="C6" i="12" s="1"/>
  <c r="I10" i="11"/>
  <c r="G10" i="11"/>
  <c r="G9" i="11"/>
  <c r="I9" i="11" s="1"/>
  <c r="I8" i="11"/>
  <c r="G8" i="11"/>
  <c r="G7" i="11"/>
  <c r="I7" i="11" s="1"/>
  <c r="I6" i="11"/>
  <c r="G6" i="11"/>
  <c r="G5" i="11"/>
  <c r="I5" i="11" s="1"/>
  <c r="I4" i="11"/>
  <c r="G4" i="11"/>
  <c r="R21" i="10"/>
  <c r="P21" i="10"/>
  <c r="O21" i="10"/>
  <c r="J21" i="10"/>
  <c r="R20" i="10"/>
  <c r="P20" i="10"/>
  <c r="O20" i="10"/>
  <c r="L20" i="10"/>
  <c r="J20" i="10"/>
  <c r="R19" i="10"/>
  <c r="J19" i="10"/>
  <c r="R18" i="10"/>
  <c r="L18" i="10"/>
  <c r="J18" i="10"/>
  <c r="O18" i="10" s="1"/>
  <c r="P18" i="10" s="1"/>
  <c r="R17" i="10"/>
  <c r="L17" i="10"/>
  <c r="J17" i="10"/>
  <c r="O17" i="10" s="1"/>
  <c r="P17" i="10" s="1"/>
  <c r="R16" i="10"/>
  <c r="O16" i="10"/>
  <c r="P16" i="10" s="1"/>
  <c r="L16" i="10"/>
  <c r="J16" i="10"/>
  <c r="R15" i="10"/>
  <c r="P15" i="10"/>
  <c r="O15" i="10"/>
  <c r="J15" i="10"/>
  <c r="L15" i="10" s="1"/>
  <c r="R14" i="10"/>
  <c r="P14" i="10"/>
  <c r="L14" i="10"/>
  <c r="J14" i="10"/>
  <c r="O14" i="10" s="1"/>
  <c r="R13" i="10"/>
  <c r="O13" i="10"/>
  <c r="P13" i="10" s="1"/>
  <c r="L13" i="10"/>
  <c r="J13" i="10"/>
  <c r="R12" i="10"/>
  <c r="P12" i="10"/>
  <c r="O12" i="10"/>
  <c r="L12" i="10"/>
  <c r="J12" i="10"/>
  <c r="R11" i="10"/>
  <c r="J11" i="10"/>
  <c r="L11" i="10" s="1"/>
  <c r="R10" i="10"/>
  <c r="P10" i="10"/>
  <c r="J10" i="10"/>
  <c r="O10" i="10" s="1"/>
  <c r="R9" i="10"/>
  <c r="O9" i="10"/>
  <c r="P9" i="10" s="1"/>
  <c r="J9" i="10"/>
  <c r="L9" i="10" s="1"/>
  <c r="R8" i="10"/>
  <c r="P8" i="10"/>
  <c r="O8" i="10"/>
  <c r="L8" i="10"/>
  <c r="J8" i="10"/>
  <c r="R7" i="10"/>
  <c r="J7" i="10"/>
  <c r="L7" i="10" s="1"/>
  <c r="R6" i="10"/>
  <c r="J6" i="10"/>
  <c r="O6" i="10" s="1"/>
  <c r="P6" i="10" s="1"/>
  <c r="R5" i="10"/>
  <c r="J5" i="10"/>
  <c r="O5" i="10" s="1"/>
  <c r="P5" i="10" s="1"/>
  <c r="R4" i="10"/>
  <c r="O4" i="10"/>
  <c r="P4" i="10" s="1"/>
  <c r="L4" i="10"/>
  <c r="J4" i="10"/>
  <c r="H13" i="9"/>
  <c r="C13" i="9"/>
  <c r="G13" i="9" s="1"/>
  <c r="H12" i="9"/>
  <c r="C12" i="9"/>
  <c r="H11" i="9"/>
  <c r="D11" i="9"/>
  <c r="C11" i="9"/>
  <c r="H10" i="9"/>
  <c r="G10" i="9"/>
  <c r="D10" i="9"/>
  <c r="C10" i="9"/>
  <c r="H9" i="9"/>
  <c r="G9" i="9"/>
  <c r="C9" i="9"/>
  <c r="H8" i="9"/>
  <c r="D8" i="9"/>
  <c r="C8" i="9"/>
  <c r="H7" i="9"/>
  <c r="G7" i="9"/>
  <c r="C7" i="9"/>
  <c r="D7" i="9" s="1"/>
  <c r="H6" i="9"/>
  <c r="G6" i="9"/>
  <c r="D6" i="9"/>
  <c r="C6" i="9"/>
  <c r="H5" i="9"/>
  <c r="C5" i="9"/>
  <c r="H4" i="9"/>
  <c r="C4" i="9"/>
  <c r="L11" i="7"/>
  <c r="L10" i="7"/>
  <c r="L9" i="7"/>
  <c r="L8" i="7"/>
  <c r="L7" i="7"/>
  <c r="L6" i="7"/>
  <c r="L5" i="7"/>
  <c r="L4" i="7"/>
  <c r="O13" i="6"/>
  <c r="K13" i="6"/>
  <c r="J13" i="6"/>
  <c r="O12" i="6"/>
  <c r="K12" i="6"/>
  <c r="J12" i="6"/>
  <c r="O11" i="6"/>
  <c r="K11" i="6"/>
  <c r="J11" i="6"/>
  <c r="O10" i="6"/>
  <c r="K10" i="6"/>
  <c r="J10" i="6"/>
  <c r="O9" i="6"/>
  <c r="K9" i="6"/>
  <c r="J9" i="6"/>
  <c r="O8" i="6"/>
  <c r="K8" i="6"/>
  <c r="J8" i="6"/>
  <c r="O7" i="6"/>
  <c r="K7" i="6"/>
  <c r="J7" i="6"/>
  <c r="O6" i="6"/>
  <c r="K6" i="6"/>
  <c r="J6" i="6"/>
  <c r="O5" i="6"/>
  <c r="K5" i="6"/>
  <c r="J5" i="6"/>
  <c r="O4" i="6"/>
  <c r="K4" i="6"/>
  <c r="J4" i="6"/>
  <c r="K13" i="4"/>
  <c r="K12" i="4"/>
  <c r="K11" i="4"/>
  <c r="K10" i="4"/>
  <c r="K9" i="4"/>
  <c r="K8" i="4"/>
  <c r="K7" i="4"/>
  <c r="K6" i="4"/>
  <c r="K5" i="4"/>
  <c r="K4" i="4"/>
  <c r="K1000" i="8"/>
  <c r="K999" i="8"/>
  <c r="K998" i="8"/>
  <c r="K997" i="8"/>
  <c r="K996" i="8"/>
  <c r="K995" i="8"/>
  <c r="K994" i="8"/>
  <c r="K993" i="8"/>
  <c r="K992" i="8"/>
  <c r="K991" i="8"/>
  <c r="K990" i="8"/>
  <c r="K989" i="8"/>
  <c r="K988" i="8"/>
  <c r="K987" i="8"/>
  <c r="K986" i="8"/>
  <c r="K985" i="8"/>
  <c r="K984" i="8"/>
  <c r="K983" i="8"/>
  <c r="K982" i="8"/>
  <c r="K981" i="8"/>
  <c r="K980" i="8"/>
  <c r="K979" i="8"/>
  <c r="K978" i="8"/>
  <c r="K977" i="8"/>
  <c r="K976" i="8"/>
  <c r="K975" i="8"/>
  <c r="K974" i="8"/>
  <c r="K973" i="8"/>
  <c r="K972" i="8"/>
  <c r="K971" i="8"/>
  <c r="K970" i="8"/>
  <c r="K969" i="8"/>
  <c r="K968" i="8"/>
  <c r="K967" i="8"/>
  <c r="K966" i="8"/>
  <c r="K965" i="8"/>
  <c r="K964" i="8"/>
  <c r="K963" i="8"/>
  <c r="K962" i="8"/>
  <c r="K961" i="8"/>
  <c r="K960" i="8"/>
  <c r="K959" i="8"/>
  <c r="K958" i="8"/>
  <c r="K957" i="8"/>
  <c r="K956" i="8"/>
  <c r="K955" i="8"/>
  <c r="K954" i="8"/>
  <c r="K953" i="8"/>
  <c r="K952" i="8"/>
  <c r="K951" i="8"/>
  <c r="K950" i="8"/>
  <c r="K949" i="8"/>
  <c r="K948" i="8"/>
  <c r="K947" i="8"/>
  <c r="K946" i="8"/>
  <c r="K945" i="8"/>
  <c r="K944" i="8"/>
  <c r="K943" i="8"/>
  <c r="K942" i="8"/>
  <c r="K941" i="8"/>
  <c r="K940" i="8"/>
  <c r="K939" i="8"/>
  <c r="K938" i="8"/>
  <c r="K937" i="8"/>
  <c r="K936" i="8"/>
  <c r="K935" i="8"/>
  <c r="K934" i="8"/>
  <c r="K933" i="8"/>
  <c r="K932" i="8"/>
  <c r="K931" i="8"/>
  <c r="K930" i="8"/>
  <c r="K929" i="8"/>
  <c r="K928" i="8"/>
  <c r="K927" i="8"/>
  <c r="K926" i="8"/>
  <c r="K925" i="8"/>
  <c r="K924" i="8"/>
  <c r="K923" i="8"/>
  <c r="K922" i="8"/>
  <c r="K921" i="8"/>
  <c r="K920" i="8"/>
  <c r="K919" i="8"/>
  <c r="K918" i="8"/>
  <c r="K917" i="8"/>
  <c r="K916" i="8"/>
  <c r="K915" i="8"/>
  <c r="K914" i="8"/>
  <c r="K913" i="8"/>
  <c r="K912" i="8"/>
  <c r="K911" i="8"/>
  <c r="K910" i="8"/>
  <c r="K909" i="8"/>
  <c r="K908" i="8"/>
  <c r="K907" i="8"/>
  <c r="K906" i="8"/>
  <c r="K905" i="8"/>
  <c r="K904" i="8"/>
  <c r="K903" i="8"/>
  <c r="K902" i="8"/>
  <c r="K901" i="8"/>
  <c r="K900" i="8"/>
  <c r="K899" i="8"/>
  <c r="K898" i="8"/>
  <c r="K897" i="8"/>
  <c r="K896" i="8"/>
  <c r="K895" i="8"/>
  <c r="K894" i="8"/>
  <c r="K893" i="8"/>
  <c r="K892" i="8"/>
  <c r="K891" i="8"/>
  <c r="K890" i="8"/>
  <c r="K889" i="8"/>
  <c r="K888" i="8"/>
  <c r="K887" i="8"/>
  <c r="K886" i="8"/>
  <c r="K885" i="8"/>
  <c r="K884" i="8"/>
  <c r="K883" i="8"/>
  <c r="K882" i="8"/>
  <c r="K881" i="8"/>
  <c r="K880" i="8"/>
  <c r="K879" i="8"/>
  <c r="K878" i="8"/>
  <c r="K877" i="8"/>
  <c r="K876" i="8"/>
  <c r="K875" i="8"/>
  <c r="K874" i="8"/>
  <c r="K873" i="8"/>
  <c r="K872" i="8"/>
  <c r="K871" i="8"/>
  <c r="K870" i="8"/>
  <c r="K869" i="8"/>
  <c r="K868" i="8"/>
  <c r="K867" i="8"/>
  <c r="K866" i="8"/>
  <c r="K865" i="8"/>
  <c r="K864" i="8"/>
  <c r="K863" i="8"/>
  <c r="K862" i="8"/>
  <c r="K861" i="8"/>
  <c r="K860" i="8"/>
  <c r="K859" i="8"/>
  <c r="K858" i="8"/>
  <c r="K857" i="8"/>
  <c r="K856" i="8"/>
  <c r="K855" i="8"/>
  <c r="K854" i="8"/>
  <c r="K853" i="8"/>
  <c r="K852" i="8"/>
  <c r="K851" i="8"/>
  <c r="K850" i="8"/>
  <c r="K849" i="8"/>
  <c r="K848" i="8"/>
  <c r="K847" i="8"/>
  <c r="K846" i="8"/>
  <c r="K845" i="8"/>
  <c r="K844" i="8"/>
  <c r="K843" i="8"/>
  <c r="K842" i="8"/>
  <c r="K841" i="8"/>
  <c r="K840" i="8"/>
  <c r="K839" i="8"/>
  <c r="K838" i="8"/>
  <c r="K837" i="8"/>
  <c r="K836" i="8"/>
  <c r="K835" i="8"/>
  <c r="K834" i="8"/>
  <c r="K833" i="8"/>
  <c r="K832" i="8"/>
  <c r="K831" i="8"/>
  <c r="K830" i="8"/>
  <c r="K829" i="8"/>
  <c r="K828" i="8"/>
  <c r="K827" i="8"/>
  <c r="K826" i="8"/>
  <c r="K825" i="8"/>
  <c r="K824" i="8"/>
  <c r="K823" i="8"/>
  <c r="K822" i="8"/>
  <c r="K821" i="8"/>
  <c r="K820" i="8"/>
  <c r="K819" i="8"/>
  <c r="K818" i="8"/>
  <c r="K817" i="8"/>
  <c r="K816" i="8"/>
  <c r="K815" i="8"/>
  <c r="K814" i="8"/>
  <c r="K813" i="8"/>
  <c r="K812" i="8"/>
  <c r="K811" i="8"/>
  <c r="K810" i="8"/>
  <c r="K809" i="8"/>
  <c r="K808" i="8"/>
  <c r="K807" i="8"/>
  <c r="K806" i="8"/>
  <c r="K805" i="8"/>
  <c r="K804" i="8"/>
  <c r="K803" i="8"/>
  <c r="K802" i="8"/>
  <c r="K801" i="8"/>
  <c r="K800" i="8"/>
  <c r="K799" i="8"/>
  <c r="K798" i="8"/>
  <c r="K797" i="8"/>
  <c r="K796" i="8"/>
  <c r="K795" i="8"/>
  <c r="K794" i="8"/>
  <c r="K793" i="8"/>
  <c r="K792" i="8"/>
  <c r="K791" i="8"/>
  <c r="K790" i="8"/>
  <c r="K789" i="8"/>
  <c r="K788" i="8"/>
  <c r="K787" i="8"/>
  <c r="K786" i="8"/>
  <c r="K785" i="8"/>
  <c r="K784" i="8"/>
  <c r="K783" i="8"/>
  <c r="K782" i="8"/>
  <c r="K781" i="8"/>
  <c r="K780" i="8"/>
  <c r="K779" i="8"/>
  <c r="K778" i="8"/>
  <c r="K777" i="8"/>
  <c r="K776" i="8"/>
  <c r="K775" i="8"/>
  <c r="K774" i="8"/>
  <c r="K773" i="8"/>
  <c r="K772" i="8"/>
  <c r="K771" i="8"/>
  <c r="K770" i="8"/>
  <c r="K769" i="8"/>
  <c r="K768" i="8"/>
  <c r="K767" i="8"/>
  <c r="K766" i="8"/>
  <c r="K765" i="8"/>
  <c r="K764" i="8"/>
  <c r="K763" i="8"/>
  <c r="K762" i="8"/>
  <c r="K761" i="8"/>
  <c r="K760" i="8"/>
  <c r="K759" i="8"/>
  <c r="K758" i="8"/>
  <c r="K757" i="8"/>
  <c r="K756" i="8"/>
  <c r="K755" i="8"/>
  <c r="K754" i="8"/>
  <c r="K753" i="8"/>
  <c r="K752" i="8"/>
  <c r="K751" i="8"/>
  <c r="K750" i="8"/>
  <c r="K749" i="8"/>
  <c r="K748" i="8"/>
  <c r="K747" i="8"/>
  <c r="K746" i="8"/>
  <c r="K745" i="8"/>
  <c r="K744" i="8"/>
  <c r="K743" i="8"/>
  <c r="K742" i="8"/>
  <c r="K741" i="8"/>
  <c r="K740" i="8"/>
  <c r="K739" i="8"/>
  <c r="K738" i="8"/>
  <c r="K737" i="8"/>
  <c r="K736" i="8"/>
  <c r="K735" i="8"/>
  <c r="K734" i="8"/>
  <c r="K733" i="8"/>
  <c r="K732" i="8"/>
  <c r="K731" i="8"/>
  <c r="K730" i="8"/>
  <c r="K729" i="8"/>
  <c r="K728" i="8"/>
  <c r="K727" i="8"/>
  <c r="K726" i="8"/>
  <c r="K725" i="8"/>
  <c r="K724" i="8"/>
  <c r="K723" i="8"/>
  <c r="K722" i="8"/>
  <c r="K721" i="8"/>
  <c r="K720" i="8"/>
  <c r="K719" i="8"/>
  <c r="K718" i="8"/>
  <c r="K717" i="8"/>
  <c r="K716" i="8"/>
  <c r="K715" i="8"/>
  <c r="K714" i="8"/>
  <c r="K713" i="8"/>
  <c r="K712" i="8"/>
  <c r="K711" i="8"/>
  <c r="K710" i="8"/>
  <c r="K709" i="8"/>
  <c r="K708" i="8"/>
  <c r="K707" i="8"/>
  <c r="K706" i="8"/>
  <c r="K705" i="8"/>
  <c r="K704" i="8"/>
  <c r="K703" i="8"/>
  <c r="K702" i="8"/>
  <c r="K701" i="8"/>
  <c r="K700" i="8"/>
  <c r="K699" i="8"/>
  <c r="K698" i="8"/>
  <c r="K697" i="8"/>
  <c r="K696" i="8"/>
  <c r="K695" i="8"/>
  <c r="K694" i="8"/>
  <c r="K693" i="8"/>
  <c r="K692" i="8"/>
  <c r="K691" i="8"/>
  <c r="K690" i="8"/>
  <c r="K689" i="8"/>
  <c r="K688" i="8"/>
  <c r="K687" i="8"/>
  <c r="K686" i="8"/>
  <c r="K685" i="8"/>
  <c r="K684" i="8"/>
  <c r="K683" i="8"/>
  <c r="K682" i="8"/>
  <c r="K681" i="8"/>
  <c r="K680" i="8"/>
  <c r="K679" i="8"/>
  <c r="K678" i="8"/>
  <c r="K677" i="8"/>
  <c r="K676" i="8"/>
  <c r="K675" i="8"/>
  <c r="K674" i="8"/>
  <c r="K673" i="8"/>
  <c r="K672" i="8"/>
  <c r="K671" i="8"/>
  <c r="K670" i="8"/>
  <c r="K669" i="8"/>
  <c r="K668" i="8"/>
  <c r="K667" i="8"/>
  <c r="K666" i="8"/>
  <c r="K665" i="8"/>
  <c r="K664" i="8"/>
  <c r="K663" i="8"/>
  <c r="K662" i="8"/>
  <c r="K661" i="8"/>
  <c r="K660" i="8"/>
  <c r="K659" i="8"/>
  <c r="K658" i="8"/>
  <c r="K657" i="8"/>
  <c r="K656" i="8"/>
  <c r="K655" i="8"/>
  <c r="K654" i="8"/>
  <c r="K653" i="8"/>
  <c r="K652" i="8"/>
  <c r="K651" i="8"/>
  <c r="K650" i="8"/>
  <c r="K649" i="8"/>
  <c r="K648" i="8"/>
  <c r="K647" i="8"/>
  <c r="K646" i="8"/>
  <c r="K645" i="8"/>
  <c r="K644" i="8"/>
  <c r="K643" i="8"/>
  <c r="K642" i="8"/>
  <c r="K641" i="8"/>
  <c r="K640" i="8"/>
  <c r="K639" i="8"/>
  <c r="K638" i="8"/>
  <c r="K637" i="8"/>
  <c r="K636" i="8"/>
  <c r="K635" i="8"/>
  <c r="K634" i="8"/>
  <c r="K633" i="8"/>
  <c r="K632" i="8"/>
  <c r="K631" i="8"/>
  <c r="K630" i="8"/>
  <c r="K629" i="8"/>
  <c r="K628" i="8"/>
  <c r="K627" i="8"/>
  <c r="K626" i="8"/>
  <c r="K625" i="8"/>
  <c r="K624" i="8"/>
  <c r="K623" i="8"/>
  <c r="K622" i="8"/>
  <c r="K621" i="8"/>
  <c r="K620" i="8"/>
  <c r="K619" i="8"/>
  <c r="K618" i="8"/>
  <c r="K617" i="8"/>
  <c r="K616" i="8"/>
  <c r="K615" i="8"/>
  <c r="K614" i="8"/>
  <c r="K613" i="8"/>
  <c r="K612" i="8"/>
  <c r="K611" i="8"/>
  <c r="K610" i="8"/>
  <c r="K609" i="8"/>
  <c r="K608" i="8"/>
  <c r="K607" i="8"/>
  <c r="K606" i="8"/>
  <c r="K605" i="8"/>
  <c r="K604" i="8"/>
  <c r="K603" i="8"/>
  <c r="K602" i="8"/>
  <c r="K601" i="8"/>
  <c r="K600" i="8"/>
  <c r="K599" i="8"/>
  <c r="K598" i="8"/>
  <c r="K597" i="8"/>
  <c r="K596" i="8"/>
  <c r="K595" i="8"/>
  <c r="K594" i="8"/>
  <c r="K593" i="8"/>
  <c r="K592" i="8"/>
  <c r="K591" i="8"/>
  <c r="K590" i="8"/>
  <c r="K589" i="8"/>
  <c r="K588" i="8"/>
  <c r="K587" i="8"/>
  <c r="K586" i="8"/>
  <c r="K585" i="8"/>
  <c r="K584" i="8"/>
  <c r="K583" i="8"/>
  <c r="K582" i="8"/>
  <c r="K581" i="8"/>
  <c r="K580" i="8"/>
  <c r="K579" i="8"/>
  <c r="K578" i="8"/>
  <c r="K577" i="8"/>
  <c r="K576" i="8"/>
  <c r="K575" i="8"/>
  <c r="K574" i="8"/>
  <c r="K573" i="8"/>
  <c r="K572" i="8"/>
  <c r="K571" i="8"/>
  <c r="K570" i="8"/>
  <c r="K569" i="8"/>
  <c r="K568" i="8"/>
  <c r="K567" i="8"/>
  <c r="K566" i="8"/>
  <c r="K565" i="8"/>
  <c r="K564" i="8"/>
  <c r="K563" i="8"/>
  <c r="K562" i="8"/>
  <c r="K561" i="8"/>
  <c r="K560" i="8"/>
  <c r="K559" i="8"/>
  <c r="K558" i="8"/>
  <c r="K557" i="8"/>
  <c r="K556" i="8"/>
  <c r="K555" i="8"/>
  <c r="K554" i="8"/>
  <c r="K553" i="8"/>
  <c r="K552" i="8"/>
  <c r="K551" i="8"/>
  <c r="K550" i="8"/>
  <c r="K549" i="8"/>
  <c r="K548" i="8"/>
  <c r="K547" i="8"/>
  <c r="K546" i="8"/>
  <c r="K545" i="8"/>
  <c r="K544" i="8"/>
  <c r="K543" i="8"/>
  <c r="K542" i="8"/>
  <c r="K541" i="8"/>
  <c r="K540" i="8"/>
  <c r="K539" i="8"/>
  <c r="K538" i="8"/>
  <c r="K537" i="8"/>
  <c r="K536" i="8"/>
  <c r="K535" i="8"/>
  <c r="K534" i="8"/>
  <c r="K533" i="8"/>
  <c r="K532" i="8"/>
  <c r="K531" i="8"/>
  <c r="K530" i="8"/>
  <c r="K529" i="8"/>
  <c r="K528" i="8"/>
  <c r="K527" i="8"/>
  <c r="K526" i="8"/>
  <c r="K525" i="8"/>
  <c r="K524" i="8"/>
  <c r="K523" i="8"/>
  <c r="K522" i="8"/>
  <c r="K521" i="8"/>
  <c r="K520" i="8"/>
  <c r="K519" i="8"/>
  <c r="K518" i="8"/>
  <c r="K517" i="8"/>
  <c r="K516" i="8"/>
  <c r="K515" i="8"/>
  <c r="K514" i="8"/>
  <c r="K513" i="8"/>
  <c r="K512" i="8"/>
  <c r="K511" i="8"/>
  <c r="K510" i="8"/>
  <c r="K509" i="8"/>
  <c r="K508" i="8"/>
  <c r="K507" i="8"/>
  <c r="K506" i="8"/>
  <c r="K505" i="8"/>
  <c r="K504" i="8"/>
  <c r="K503" i="8"/>
  <c r="K502" i="8"/>
  <c r="K501" i="8"/>
  <c r="K500" i="8"/>
  <c r="K499" i="8"/>
  <c r="K498" i="8"/>
  <c r="K497" i="8"/>
  <c r="K496" i="8"/>
  <c r="K495" i="8"/>
  <c r="K494" i="8"/>
  <c r="K493" i="8"/>
  <c r="K492" i="8"/>
  <c r="K491" i="8"/>
  <c r="K490" i="8"/>
  <c r="K489" i="8"/>
  <c r="K488" i="8"/>
  <c r="K487" i="8"/>
  <c r="K486" i="8"/>
  <c r="K485" i="8"/>
  <c r="K484" i="8"/>
  <c r="K483" i="8"/>
  <c r="K482" i="8"/>
  <c r="K481" i="8"/>
  <c r="K480" i="8"/>
  <c r="K479" i="8"/>
  <c r="K478" i="8"/>
  <c r="K477" i="8"/>
  <c r="K476" i="8"/>
  <c r="K475" i="8"/>
  <c r="K474" i="8"/>
  <c r="K473" i="8"/>
  <c r="K472" i="8"/>
  <c r="K471" i="8"/>
  <c r="K470" i="8"/>
  <c r="K469" i="8"/>
  <c r="K468" i="8"/>
  <c r="K467" i="8"/>
  <c r="K466" i="8"/>
  <c r="K465" i="8"/>
  <c r="K464" i="8"/>
  <c r="K463" i="8"/>
  <c r="K462" i="8"/>
  <c r="K461" i="8"/>
  <c r="K460" i="8"/>
  <c r="K459" i="8"/>
  <c r="K458" i="8"/>
  <c r="K457" i="8"/>
  <c r="K456" i="8"/>
  <c r="K455" i="8"/>
  <c r="K454" i="8"/>
  <c r="K453" i="8"/>
  <c r="K452" i="8"/>
  <c r="K451" i="8"/>
  <c r="K450" i="8"/>
  <c r="K449" i="8"/>
  <c r="K448" i="8"/>
  <c r="K447" i="8"/>
  <c r="K446" i="8"/>
  <c r="K445" i="8"/>
  <c r="K444" i="8"/>
  <c r="K443" i="8"/>
  <c r="K442" i="8"/>
  <c r="K441" i="8"/>
  <c r="K440" i="8"/>
  <c r="K439" i="8"/>
  <c r="K438" i="8"/>
  <c r="K437" i="8"/>
  <c r="K436" i="8"/>
  <c r="K435" i="8"/>
  <c r="K434" i="8"/>
  <c r="K433" i="8"/>
  <c r="K432" i="8"/>
  <c r="K431" i="8"/>
  <c r="K430" i="8"/>
  <c r="K429" i="8"/>
  <c r="K428" i="8"/>
  <c r="K427" i="8"/>
  <c r="K426" i="8"/>
  <c r="K425" i="8"/>
  <c r="K424" i="8"/>
  <c r="K423" i="8"/>
  <c r="K422" i="8"/>
  <c r="K421" i="8"/>
  <c r="K420" i="8"/>
  <c r="K419" i="8"/>
  <c r="K418" i="8"/>
  <c r="K417" i="8"/>
  <c r="K416" i="8"/>
  <c r="K415" i="8"/>
  <c r="K414" i="8"/>
  <c r="K413" i="8"/>
  <c r="K412" i="8"/>
  <c r="K411" i="8"/>
  <c r="K410" i="8"/>
  <c r="K409" i="8"/>
  <c r="K408" i="8"/>
  <c r="K407" i="8"/>
  <c r="K406" i="8"/>
  <c r="K405" i="8"/>
  <c r="K404" i="8"/>
  <c r="K403" i="8"/>
  <c r="K402" i="8"/>
  <c r="K401" i="8"/>
  <c r="K400" i="8"/>
  <c r="K399" i="8"/>
  <c r="K398" i="8"/>
  <c r="K397" i="8"/>
  <c r="K396" i="8"/>
  <c r="K395" i="8"/>
  <c r="K394" i="8"/>
  <c r="K393" i="8"/>
  <c r="K392" i="8"/>
  <c r="K391" i="8"/>
  <c r="K390" i="8"/>
  <c r="K389" i="8"/>
  <c r="K388" i="8"/>
  <c r="K387" i="8"/>
  <c r="K386" i="8"/>
  <c r="K385" i="8"/>
  <c r="K384" i="8"/>
  <c r="K383" i="8"/>
  <c r="K382" i="8"/>
  <c r="K381" i="8"/>
  <c r="K380" i="8"/>
  <c r="K379" i="8"/>
  <c r="K378" i="8"/>
  <c r="K377" i="8"/>
  <c r="K376" i="8"/>
  <c r="K375" i="8"/>
  <c r="K374" i="8"/>
  <c r="K373" i="8"/>
  <c r="K372" i="8"/>
  <c r="K371" i="8"/>
  <c r="K370" i="8"/>
  <c r="K369" i="8"/>
  <c r="K368" i="8"/>
  <c r="K367" i="8"/>
  <c r="K366" i="8"/>
  <c r="K365" i="8"/>
  <c r="K364" i="8"/>
  <c r="K363" i="8"/>
  <c r="K362" i="8"/>
  <c r="K361" i="8"/>
  <c r="K360" i="8"/>
  <c r="K359" i="8"/>
  <c r="K358" i="8"/>
  <c r="K357" i="8"/>
  <c r="K356" i="8"/>
  <c r="K355" i="8"/>
  <c r="K354" i="8"/>
  <c r="K353" i="8"/>
  <c r="K352" i="8"/>
  <c r="K351" i="8"/>
  <c r="K350" i="8"/>
  <c r="K349" i="8"/>
  <c r="K348" i="8"/>
  <c r="K347" i="8"/>
  <c r="K346" i="8"/>
  <c r="K345" i="8"/>
  <c r="K344" i="8"/>
  <c r="K343" i="8"/>
  <c r="K342" i="8"/>
  <c r="K341" i="8"/>
  <c r="K340" i="8"/>
  <c r="K339" i="8"/>
  <c r="K338" i="8"/>
  <c r="K337" i="8"/>
  <c r="K336" i="8"/>
  <c r="K335" i="8"/>
  <c r="K334" i="8"/>
  <c r="K333" i="8"/>
  <c r="K332" i="8"/>
  <c r="K331" i="8"/>
  <c r="K330" i="8"/>
  <c r="K329" i="8"/>
  <c r="K328" i="8"/>
  <c r="K327" i="8"/>
  <c r="K326" i="8"/>
  <c r="K325" i="8"/>
  <c r="K324" i="8"/>
  <c r="K323" i="8"/>
  <c r="K322" i="8"/>
  <c r="K321" i="8"/>
  <c r="K320" i="8"/>
  <c r="K319" i="8"/>
  <c r="K318" i="8"/>
  <c r="K317" i="8"/>
  <c r="K316" i="8"/>
  <c r="K315" i="8"/>
  <c r="K314" i="8"/>
  <c r="K313" i="8"/>
  <c r="K312" i="8"/>
  <c r="K311" i="8"/>
  <c r="K310" i="8"/>
  <c r="K309" i="8"/>
  <c r="K308" i="8"/>
  <c r="K307" i="8"/>
  <c r="K306" i="8"/>
  <c r="K305" i="8"/>
  <c r="K304" i="8"/>
  <c r="K303" i="8"/>
  <c r="K302" i="8"/>
  <c r="K301" i="8"/>
  <c r="K300" i="8"/>
  <c r="K299" i="8"/>
  <c r="K298" i="8"/>
  <c r="K297" i="8"/>
  <c r="K296" i="8"/>
  <c r="K295" i="8"/>
  <c r="K294" i="8"/>
  <c r="K293" i="8"/>
  <c r="K292" i="8"/>
  <c r="K291" i="8"/>
  <c r="K290" i="8"/>
  <c r="K289" i="8"/>
  <c r="K288" i="8"/>
  <c r="K287" i="8"/>
  <c r="K286" i="8"/>
  <c r="K285" i="8"/>
  <c r="K284" i="8"/>
  <c r="K283" i="8"/>
  <c r="K282" i="8"/>
  <c r="K281" i="8"/>
  <c r="K280" i="8"/>
  <c r="K279" i="8"/>
  <c r="K278" i="8"/>
  <c r="K277" i="8"/>
  <c r="K276" i="8"/>
  <c r="K275" i="8"/>
  <c r="K274" i="8"/>
  <c r="K273" i="8"/>
  <c r="K272" i="8"/>
  <c r="K271" i="8"/>
  <c r="K270" i="8"/>
  <c r="K269" i="8"/>
  <c r="K268" i="8"/>
  <c r="K267" i="8"/>
  <c r="K266" i="8"/>
  <c r="K265" i="8"/>
  <c r="K264" i="8"/>
  <c r="K263" i="8"/>
  <c r="K262" i="8"/>
  <c r="K261" i="8"/>
  <c r="K260" i="8"/>
  <c r="K259" i="8"/>
  <c r="K258" i="8"/>
  <c r="K257" i="8"/>
  <c r="K256" i="8"/>
  <c r="K255" i="8"/>
  <c r="K254" i="8"/>
  <c r="K253" i="8"/>
  <c r="K252" i="8"/>
  <c r="K251" i="8"/>
  <c r="K250" i="8"/>
  <c r="K249" i="8"/>
  <c r="K248" i="8"/>
  <c r="K247" i="8"/>
  <c r="K246" i="8"/>
  <c r="K245" i="8"/>
  <c r="K244" i="8"/>
  <c r="K243" i="8"/>
  <c r="K242" i="8"/>
  <c r="K241" i="8"/>
  <c r="K240" i="8"/>
  <c r="K239" i="8"/>
  <c r="K238" i="8"/>
  <c r="K237" i="8"/>
  <c r="K236" i="8"/>
  <c r="K235" i="8"/>
  <c r="K234" i="8"/>
  <c r="K233" i="8"/>
  <c r="K232" i="8"/>
  <c r="K231" i="8"/>
  <c r="K230" i="8"/>
  <c r="K229" i="8"/>
  <c r="K228" i="8"/>
  <c r="K227" i="8"/>
  <c r="K226" i="8"/>
  <c r="K225" i="8"/>
  <c r="K224" i="8"/>
  <c r="K223" i="8"/>
  <c r="K222" i="8"/>
  <c r="K221" i="8"/>
  <c r="K220" i="8"/>
  <c r="K219" i="8"/>
  <c r="K218" i="8"/>
  <c r="K217" i="8"/>
  <c r="K216" i="8"/>
  <c r="K215" i="8"/>
  <c r="K214" i="8"/>
  <c r="K213" i="8"/>
  <c r="K212" i="8"/>
  <c r="K211" i="8"/>
  <c r="K210" i="8"/>
  <c r="K209" i="8"/>
  <c r="K208" i="8"/>
  <c r="K207" i="8"/>
  <c r="K206" i="8"/>
  <c r="K205" i="8"/>
  <c r="K204" i="8"/>
  <c r="K203" i="8"/>
  <c r="K202" i="8"/>
  <c r="K201" i="8"/>
  <c r="K200" i="8"/>
  <c r="K199" i="8"/>
  <c r="K198" i="8"/>
  <c r="K197" i="8"/>
  <c r="K196" i="8"/>
  <c r="K195" i="8"/>
  <c r="K194" i="8"/>
  <c r="K193" i="8"/>
  <c r="K192" i="8"/>
  <c r="K191" i="8"/>
  <c r="K190" i="8"/>
  <c r="K189" i="8"/>
  <c r="K188" i="8"/>
  <c r="K187" i="8"/>
  <c r="K186" i="8"/>
  <c r="K185" i="8"/>
  <c r="K184" i="8"/>
  <c r="K183" i="8"/>
  <c r="K182" i="8"/>
  <c r="K181" i="8"/>
  <c r="K180" i="8"/>
  <c r="K179" i="8"/>
  <c r="K178" i="8"/>
  <c r="K177" i="8"/>
  <c r="K176" i="8"/>
  <c r="K175" i="8"/>
  <c r="K174" i="8"/>
  <c r="K173" i="8"/>
  <c r="K172" i="8"/>
  <c r="K171" i="8"/>
  <c r="K170" i="8"/>
  <c r="K169" i="8"/>
  <c r="K168" i="8"/>
  <c r="K167" i="8"/>
  <c r="K166" i="8"/>
  <c r="K165" i="8"/>
  <c r="K164" i="8"/>
  <c r="K163" i="8"/>
  <c r="K162" i="8"/>
  <c r="K161" i="8"/>
  <c r="K160" i="8"/>
  <c r="K159" i="8"/>
  <c r="K158" i="8"/>
  <c r="K157" i="8"/>
  <c r="K156" i="8"/>
  <c r="K155" i="8"/>
  <c r="K154" i="8"/>
  <c r="K153" i="8"/>
  <c r="K152" i="8"/>
  <c r="K151" i="8"/>
  <c r="K150" i="8"/>
  <c r="K149" i="8"/>
  <c r="K148" i="8"/>
  <c r="K147" i="8"/>
  <c r="K146" i="8"/>
  <c r="K145" i="8"/>
  <c r="K144" i="8"/>
  <c r="K143" i="8"/>
  <c r="K142" i="8"/>
  <c r="K141" i="8"/>
  <c r="K140" i="8"/>
  <c r="K139" i="8"/>
  <c r="K138" i="8"/>
  <c r="K137" i="8"/>
  <c r="K136" i="8"/>
  <c r="K135" i="8"/>
  <c r="K134" i="8"/>
  <c r="K133" i="8"/>
  <c r="K132" i="8"/>
  <c r="K131" i="8"/>
  <c r="K130" i="8"/>
  <c r="K129" i="8"/>
  <c r="K128" i="8"/>
  <c r="K127" i="8"/>
  <c r="K126" i="8"/>
  <c r="K125" i="8"/>
  <c r="K124" i="8"/>
  <c r="K123" i="8"/>
  <c r="K122" i="8"/>
  <c r="K121" i="8"/>
  <c r="K120" i="8"/>
  <c r="K119" i="8"/>
  <c r="K118" i="8"/>
  <c r="K117" i="8"/>
  <c r="K116" i="8"/>
  <c r="K115" i="8"/>
  <c r="K114" i="8"/>
  <c r="K113" i="8"/>
  <c r="K112" i="8"/>
  <c r="K111" i="8"/>
  <c r="K110" i="8"/>
  <c r="K109" i="8"/>
  <c r="K108" i="8"/>
  <c r="K107" i="8"/>
  <c r="K106" i="8"/>
  <c r="K105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P19" i="8"/>
  <c r="K19" i="8"/>
  <c r="C19" i="8"/>
  <c r="P18" i="8"/>
  <c r="K18" i="8"/>
  <c r="C18" i="8"/>
  <c r="P17" i="8"/>
  <c r="K17" i="8"/>
  <c r="C17" i="8"/>
  <c r="P16" i="8"/>
  <c r="K16" i="8"/>
  <c r="C16" i="8"/>
  <c r="P15" i="8"/>
  <c r="K15" i="8"/>
  <c r="C15" i="8"/>
  <c r="M14" i="8"/>
  <c r="E31" i="20" s="1"/>
  <c r="H14" i="8"/>
  <c r="K14" i="8" s="1"/>
  <c r="G31" i="20" s="1"/>
  <c r="C14" i="8"/>
  <c r="H13" i="8"/>
  <c r="K13" i="8" s="1"/>
  <c r="C13" i="8"/>
  <c r="H12" i="8"/>
  <c r="G11" i="9" s="1"/>
  <c r="C12" i="8"/>
  <c r="K11" i="8"/>
  <c r="G22" i="20" s="1"/>
  <c r="H11" i="8"/>
  <c r="C11" i="8"/>
  <c r="H10" i="8"/>
  <c r="K10" i="8" s="1"/>
  <c r="G19" i="20" s="1"/>
  <c r="C10" i="8"/>
  <c r="P9" i="8"/>
  <c r="H9" i="8"/>
  <c r="K9" i="8" s="1"/>
  <c r="M9" i="8" s="1"/>
  <c r="C9" i="8"/>
  <c r="K8" i="8"/>
  <c r="H8" i="8"/>
  <c r="C8" i="8"/>
  <c r="M7" i="8"/>
  <c r="E13" i="20" s="1"/>
  <c r="K7" i="8"/>
  <c r="G13" i="20" s="1"/>
  <c r="H7" i="8"/>
  <c r="C7" i="8"/>
  <c r="M6" i="8"/>
  <c r="E10" i="20" s="1"/>
  <c r="H6" i="8"/>
  <c r="K6" i="8" s="1"/>
  <c r="G10" i="20" s="1"/>
  <c r="C6" i="8"/>
  <c r="H5" i="8"/>
  <c r="K5" i="8" s="1"/>
  <c r="C5" i="8"/>
  <c r="H4" i="8"/>
  <c r="K4" i="8" s="1"/>
  <c r="C4" i="8"/>
  <c r="I11" i="9" l="1"/>
  <c r="P12" i="8" s="1"/>
  <c r="I9" i="12"/>
  <c r="G4" i="20"/>
  <c r="M4" i="8"/>
  <c r="E4" i="20" s="1"/>
  <c r="G43" i="20"/>
  <c r="G45" i="20"/>
  <c r="I7" i="9"/>
  <c r="M10" i="8"/>
  <c r="E19" i="20" s="1"/>
  <c r="K12" i="8"/>
  <c r="F14" i="20"/>
  <c r="F15" i="20" s="1"/>
  <c r="G12" i="9"/>
  <c r="B10" i="12"/>
  <c r="C10" i="12" s="1"/>
  <c r="D12" i="9"/>
  <c r="G23" i="20"/>
  <c r="G24" i="20"/>
  <c r="I6" i="9"/>
  <c r="P6" i="8" s="1"/>
  <c r="I6" i="12"/>
  <c r="G11" i="20"/>
  <c r="G12" i="20" s="1"/>
  <c r="M11" i="8"/>
  <c r="E22" i="20" s="1"/>
  <c r="G33" i="20"/>
  <c r="G32" i="20"/>
  <c r="I7" i="12"/>
  <c r="I9" i="9"/>
  <c r="P10" i="8" s="1"/>
  <c r="I11" i="12"/>
  <c r="I13" i="9"/>
  <c r="P14" i="8" s="1"/>
  <c r="G20" i="20"/>
  <c r="G21" i="20" s="1"/>
  <c r="G7" i="20"/>
  <c r="M5" i="8"/>
  <c r="E7" i="20" s="1"/>
  <c r="F11" i="20"/>
  <c r="F12" i="20" s="1"/>
  <c r="G14" i="20"/>
  <c r="G15" i="20" s="1"/>
  <c r="G16" i="20"/>
  <c r="M8" i="8"/>
  <c r="E16" i="20" s="1"/>
  <c r="G28" i="20"/>
  <c r="M13" i="8"/>
  <c r="E28" i="20" s="1"/>
  <c r="F33" i="20"/>
  <c r="F32" i="20"/>
  <c r="I10" i="9"/>
  <c r="P11" i="8" s="1"/>
  <c r="I8" i="12"/>
  <c r="G5" i="17"/>
  <c r="C5" i="17"/>
  <c r="B7" i="21"/>
  <c r="C7" i="21"/>
  <c r="D7" i="21"/>
  <c r="D7" i="22"/>
  <c r="F7" i="22" s="1"/>
  <c r="F97" i="20" s="1"/>
  <c r="G4" i="9"/>
  <c r="D5" i="9"/>
  <c r="B5" i="12"/>
  <c r="C5" i="12" s="1"/>
  <c r="L5" i="10"/>
  <c r="L6" i="10"/>
  <c r="O7" i="10"/>
  <c r="P7" i="10" s="1"/>
  <c r="B4" i="12"/>
  <c r="C4" i="12" s="1"/>
  <c r="H4" i="14"/>
  <c r="I4" i="14"/>
  <c r="H6" i="14"/>
  <c r="I6" i="14"/>
  <c r="H8" i="14"/>
  <c r="I8" i="14"/>
  <c r="H10" i="14"/>
  <c r="I10" i="14"/>
  <c r="G4" i="17"/>
  <c r="C4" i="17"/>
  <c r="H4" i="17"/>
  <c r="G8" i="17"/>
  <c r="C8" i="17"/>
  <c r="H8" i="17"/>
  <c r="G12" i="17"/>
  <c r="C12" i="17"/>
  <c r="H12" i="17"/>
  <c r="H13" i="14"/>
  <c r="I13" i="14"/>
  <c r="F9" i="17"/>
  <c r="G9" i="17"/>
  <c r="C9" i="17"/>
  <c r="H9" i="17"/>
  <c r="F13" i="17"/>
  <c r="G13" i="17"/>
  <c r="C13" i="17"/>
  <c r="H13" i="17"/>
  <c r="D9" i="21"/>
  <c r="G9" i="21" s="1"/>
  <c r="H9" i="21" s="1"/>
  <c r="E9" i="21"/>
  <c r="B9" i="21"/>
  <c r="C9" i="21"/>
  <c r="D4" i="9"/>
  <c r="G5" i="9"/>
  <c r="G8" i="9"/>
  <c r="D9" i="9"/>
  <c r="B7" i="12"/>
  <c r="C7" i="12" s="1"/>
  <c r="B9" i="12"/>
  <c r="C9" i="12" s="1"/>
  <c r="L10" i="10"/>
  <c r="O11" i="10"/>
  <c r="P11" i="10" s="1"/>
  <c r="H5" i="17" s="1"/>
  <c r="L19" i="10"/>
  <c r="O19" i="10"/>
  <c r="P19" i="10" s="1"/>
  <c r="H12" i="14"/>
  <c r="I12" i="14"/>
  <c r="G7" i="17"/>
  <c r="C7" i="17"/>
  <c r="H7" i="17"/>
  <c r="F11" i="17"/>
  <c r="G11" i="17"/>
  <c r="H11" i="17"/>
  <c r="D13" i="9"/>
  <c r="B11" i="12"/>
  <c r="C11" i="12" s="1"/>
  <c r="H5" i="14"/>
  <c r="I5" i="14"/>
  <c r="H7" i="14"/>
  <c r="I7" i="14"/>
  <c r="H9" i="14"/>
  <c r="I9" i="14"/>
  <c r="F6" i="17"/>
  <c r="G6" i="17"/>
  <c r="C6" i="17"/>
  <c r="H6" i="17"/>
  <c r="F10" i="17"/>
  <c r="G10" i="17"/>
  <c r="C10" i="17"/>
  <c r="H10" i="17"/>
  <c r="C4" i="21"/>
  <c r="D4" i="21"/>
  <c r="D5" i="21"/>
  <c r="G5" i="21" s="1"/>
  <c r="H5" i="21" s="1"/>
  <c r="B5" i="21"/>
  <c r="B11" i="21"/>
  <c r="E11" i="21"/>
  <c r="C12" i="21"/>
  <c r="D12" i="21"/>
  <c r="G12" i="21" s="1"/>
  <c r="H12" i="21" s="1"/>
  <c r="D13" i="21"/>
  <c r="G13" i="21" s="1"/>
  <c r="H13" i="21" s="1"/>
  <c r="B13" i="21"/>
  <c r="G16" i="21"/>
  <c r="H16" i="21" s="1"/>
  <c r="B19" i="21"/>
  <c r="C20" i="21"/>
  <c r="D20" i="21"/>
  <c r="G20" i="21" s="1"/>
  <c r="H20" i="21" s="1"/>
  <c r="G21" i="21"/>
  <c r="H21" i="21" s="1"/>
  <c r="B43" i="21"/>
  <c r="E43" i="21"/>
  <c r="D43" i="21"/>
  <c r="C43" i="21"/>
  <c r="C19" i="21"/>
  <c r="B20" i="21"/>
  <c r="D33" i="21"/>
  <c r="G33" i="21" s="1"/>
  <c r="H33" i="21" s="1"/>
  <c r="E33" i="21"/>
  <c r="C33" i="21"/>
  <c r="B33" i="21"/>
  <c r="B15" i="21"/>
  <c r="C15" i="21"/>
  <c r="D17" i="21"/>
  <c r="G17" i="21" s="1"/>
  <c r="H17" i="21" s="1"/>
  <c r="E17" i="21"/>
  <c r="C28" i="21"/>
  <c r="D28" i="21"/>
  <c r="B28" i="21"/>
  <c r="D41" i="21"/>
  <c r="G41" i="21" s="1"/>
  <c r="H41" i="21" s="1"/>
  <c r="E41" i="21"/>
  <c r="C41" i="21"/>
  <c r="B41" i="21"/>
  <c r="B17" i="21"/>
  <c r="D25" i="21"/>
  <c r="C25" i="21"/>
  <c r="B27" i="21"/>
  <c r="E27" i="21"/>
  <c r="D27" i="21"/>
  <c r="E28" i="21"/>
  <c r="B35" i="21"/>
  <c r="E35" i="21"/>
  <c r="C35" i="21"/>
  <c r="D48" i="21"/>
  <c r="B36" i="21"/>
  <c r="B44" i="21"/>
  <c r="E48" i="21"/>
  <c r="B21" i="21"/>
  <c r="C23" i="21"/>
  <c r="B29" i="21"/>
  <c r="C31" i="21"/>
  <c r="D36" i="21"/>
  <c r="G36" i="21" s="1"/>
  <c r="H36" i="21" s="1"/>
  <c r="B37" i="21"/>
  <c r="C39" i="21"/>
  <c r="D44" i="21"/>
  <c r="G44" i="21" s="1"/>
  <c r="H44" i="21" s="1"/>
  <c r="G48" i="21" l="1"/>
  <c r="H14" i="17"/>
  <c r="G18" i="20"/>
  <c r="G17" i="20"/>
  <c r="G49" i="20"/>
  <c r="G51" i="20"/>
  <c r="M7" i="12"/>
  <c r="I10" i="12"/>
  <c r="I12" i="9"/>
  <c r="P13" i="8" s="1"/>
  <c r="F12" i="17" s="1"/>
  <c r="F21" i="20"/>
  <c r="F20" i="20"/>
  <c r="F5" i="20"/>
  <c r="F6" i="20" s="1"/>
  <c r="D12" i="17"/>
  <c r="E12" i="17" s="1"/>
  <c r="D8" i="17"/>
  <c r="E8" i="17"/>
  <c r="D4" i="17"/>
  <c r="E4" i="17"/>
  <c r="G52" i="20"/>
  <c r="M8" i="12"/>
  <c r="G54" i="20"/>
  <c r="F29" i="20"/>
  <c r="F30" i="20"/>
  <c r="F8" i="20"/>
  <c r="F9" i="20"/>
  <c r="F45" i="20"/>
  <c r="E94" i="20" s="1"/>
  <c r="F96" i="20" s="1"/>
  <c r="E43" i="20"/>
  <c r="P7" i="8"/>
  <c r="F7" i="17" s="1"/>
  <c r="E44" i="20"/>
  <c r="G5" i="20"/>
  <c r="G6" i="20"/>
  <c r="B7" i="24"/>
  <c r="G27" i="21"/>
  <c r="G43" i="21"/>
  <c r="H43" i="21" s="1"/>
  <c r="G4" i="21"/>
  <c r="D10" i="17"/>
  <c r="E10" i="17" s="1"/>
  <c r="D6" i="17"/>
  <c r="E6" i="17" s="1"/>
  <c r="D7" i="17"/>
  <c r="E7" i="17"/>
  <c r="G46" i="20"/>
  <c r="G48" i="20"/>
  <c r="I8" i="9"/>
  <c r="D13" i="17"/>
  <c r="E13" i="17" s="1"/>
  <c r="E9" i="17"/>
  <c r="D9" i="17"/>
  <c r="G14" i="17"/>
  <c r="I4" i="12"/>
  <c r="I4" i="9"/>
  <c r="P4" i="8" s="1"/>
  <c r="F4" i="17" s="1"/>
  <c r="D5" i="17"/>
  <c r="E5" i="17" s="1"/>
  <c r="G30" i="20"/>
  <c r="G29" i="20"/>
  <c r="G8" i="20"/>
  <c r="G9" i="20" s="1"/>
  <c r="G61" i="20"/>
  <c r="G63" i="20"/>
  <c r="M11" i="12"/>
  <c r="G40" i="20"/>
  <c r="M6" i="12"/>
  <c r="G42" i="20"/>
  <c r="G55" i="20"/>
  <c r="G57" i="20"/>
  <c r="M9" i="12"/>
  <c r="G28" i="21"/>
  <c r="I5" i="12"/>
  <c r="I5" i="9"/>
  <c r="P5" i="8" s="1"/>
  <c r="F5" i="17" s="1"/>
  <c r="F17" i="20"/>
  <c r="F18" i="20"/>
  <c r="F23" i="20"/>
  <c r="F24" i="20" s="1"/>
  <c r="G25" i="20"/>
  <c r="M12" i="8"/>
  <c r="J6" i="17" l="1"/>
  <c r="I6" i="17"/>
  <c r="I10" i="17"/>
  <c r="J10" i="17" s="1"/>
  <c r="J5" i="17"/>
  <c r="I5" i="17"/>
  <c r="I13" i="17"/>
  <c r="J13" i="17" s="1"/>
  <c r="J12" i="17"/>
  <c r="I12" i="17"/>
  <c r="F57" i="20"/>
  <c r="E110" i="20" s="1"/>
  <c r="K9" i="12"/>
  <c r="L9" i="12" s="1"/>
  <c r="E56" i="20" s="1"/>
  <c r="G34" i="20"/>
  <c r="M4" i="12"/>
  <c r="G36" i="20"/>
  <c r="E25" i="20"/>
  <c r="C11" i="17"/>
  <c r="H28" i="21"/>
  <c r="F63" i="20"/>
  <c r="E118" i="20" s="1"/>
  <c r="K11" i="12"/>
  <c r="L11" i="12" s="1"/>
  <c r="E62" i="20" s="1"/>
  <c r="J7" i="17"/>
  <c r="I7" i="17"/>
  <c r="I4" i="17"/>
  <c r="G26" i="20"/>
  <c r="G27" i="20"/>
  <c r="F48" i="20"/>
  <c r="E98" i="20" s="1"/>
  <c r="E47" i="20"/>
  <c r="E46" i="20"/>
  <c r="P8" i="8"/>
  <c r="F8" i="17" s="1"/>
  <c r="F14" i="17" s="1"/>
  <c r="D8" i="22"/>
  <c r="F8" i="22" s="1"/>
  <c r="F101" i="20" s="1"/>
  <c r="H27" i="21"/>
  <c r="B6" i="25"/>
  <c r="G58" i="20"/>
  <c r="M10" i="12"/>
  <c r="G60" i="20"/>
  <c r="I9" i="17"/>
  <c r="J9" i="17" s="1"/>
  <c r="H4" i="21"/>
  <c r="F54" i="20"/>
  <c r="E106" i="20" s="1"/>
  <c r="K8" i="12"/>
  <c r="F51" i="20"/>
  <c r="E102" i="20" s="1"/>
  <c r="K7" i="12"/>
  <c r="G37" i="20"/>
  <c r="G39" i="20"/>
  <c r="M5" i="12"/>
  <c r="F42" i="20"/>
  <c r="E90" i="20" s="1"/>
  <c r="L6" i="12"/>
  <c r="E41" i="20" s="1"/>
  <c r="K6" i="12"/>
  <c r="H48" i="21"/>
  <c r="B9" i="24"/>
  <c r="K13" i="17" l="1"/>
  <c r="L13" i="17"/>
  <c r="K10" i="17"/>
  <c r="L10" i="17"/>
  <c r="K9" i="17"/>
  <c r="L9" i="17"/>
  <c r="K7" i="17"/>
  <c r="L7" i="17"/>
  <c r="F100" i="20"/>
  <c r="F36" i="20"/>
  <c r="L4" i="12"/>
  <c r="E35" i="20" s="1"/>
  <c r="K4" i="12"/>
  <c r="E49" i="20"/>
  <c r="D9" i="22"/>
  <c r="F9" i="22" s="1"/>
  <c r="F105" i="20" s="1"/>
  <c r="F104" i="20" s="1"/>
  <c r="F60" i="20"/>
  <c r="E114" i="20" s="1"/>
  <c r="K10" i="12"/>
  <c r="L10" i="12"/>
  <c r="E59" i="20" s="1"/>
  <c r="J4" i="17"/>
  <c r="E61" i="20"/>
  <c r="D13" i="22"/>
  <c r="F13" i="22" s="1"/>
  <c r="F121" i="20" s="1"/>
  <c r="D11" i="17"/>
  <c r="D14" i="17" s="1"/>
  <c r="C14" i="17"/>
  <c r="I8" i="17"/>
  <c r="J8" i="17" s="1"/>
  <c r="E52" i="20"/>
  <c r="D10" i="22"/>
  <c r="F10" i="22" s="1"/>
  <c r="F109" i="20" s="1"/>
  <c r="F108" i="20" s="1"/>
  <c r="E40" i="20"/>
  <c r="D6" i="22"/>
  <c r="F6" i="22" s="1"/>
  <c r="F93" i="20" s="1"/>
  <c r="F92" i="20" s="1"/>
  <c r="L7" i="12"/>
  <c r="E50" i="20" s="1"/>
  <c r="L8" i="12"/>
  <c r="E53" i="20" s="1"/>
  <c r="F120" i="20"/>
  <c r="F27" i="20"/>
  <c r="E24" i="21" s="1"/>
  <c r="G24" i="21" s="1"/>
  <c r="H24" i="21" s="1"/>
  <c r="F26" i="20"/>
  <c r="E29" i="21" s="1"/>
  <c r="G29" i="21" s="1"/>
  <c r="D11" i="21"/>
  <c r="K12" i="17"/>
  <c r="L12" i="17"/>
  <c r="K5" i="17"/>
  <c r="L5" i="17"/>
  <c r="K6" i="17"/>
  <c r="L6" i="17"/>
  <c r="F39" i="20"/>
  <c r="E86" i="20" s="1"/>
  <c r="K5" i="12"/>
  <c r="E55" i="20"/>
  <c r="D11" i="22"/>
  <c r="F11" i="22" s="1"/>
  <c r="F113" i="20" s="1"/>
  <c r="F112" i="20" s="1"/>
  <c r="E37" i="20" l="1"/>
  <c r="D5" i="22"/>
  <c r="F5" i="22" s="1"/>
  <c r="F89" i="20" s="1"/>
  <c r="F88" i="20" s="1"/>
  <c r="E7" i="21" s="1"/>
  <c r="L5" i="12"/>
  <c r="E38" i="20" s="1"/>
  <c r="D15" i="21"/>
  <c r="G15" i="21" s="1"/>
  <c r="H15" i="21" s="1"/>
  <c r="G11" i="21"/>
  <c r="H11" i="21" s="1"/>
  <c r="E11" i="17"/>
  <c r="K4" i="17"/>
  <c r="L4" i="17"/>
  <c r="E82" i="20"/>
  <c r="E19" i="21"/>
  <c r="H29" i="21"/>
  <c r="B4" i="24"/>
  <c r="E58" i="20"/>
  <c r="D12" i="22"/>
  <c r="F12" i="22" s="1"/>
  <c r="F117" i="20" s="1"/>
  <c r="F116" i="20" s="1"/>
  <c r="K8" i="17"/>
  <c r="L8" i="17"/>
  <c r="E34" i="20"/>
  <c r="D35" i="21" s="1"/>
  <c r="G35" i="21" s="1"/>
  <c r="D4" i="22"/>
  <c r="F4" i="22" s="1"/>
  <c r="F85" i="20" s="1"/>
  <c r="E25" i="21" s="1"/>
  <c r="G25" i="21" s="1"/>
  <c r="H25" i="21" s="1"/>
  <c r="G7" i="21" l="1"/>
  <c r="F84" i="20"/>
  <c r="E8" i="21" s="1"/>
  <c r="G8" i="21" s="1"/>
  <c r="H8" i="21" s="1"/>
  <c r="D19" i="21"/>
  <c r="G19" i="21" s="1"/>
  <c r="I11" i="17"/>
  <c r="I14" i="17" s="1"/>
  <c r="E14" i="17"/>
  <c r="H35" i="21"/>
  <c r="B5" i="24"/>
  <c r="B6" i="24" s="1"/>
  <c r="B8" i="24" s="1"/>
  <c r="B10" i="24" s="1"/>
  <c r="B7" i="25" s="1"/>
  <c r="H19" i="21" l="1"/>
  <c r="B5" i="25"/>
  <c r="B8" i="25" s="1"/>
  <c r="D49" i="21"/>
  <c r="H49" i="21" s="1"/>
  <c r="H7" i="21"/>
  <c r="G49" i="21"/>
  <c r="B4" i="25"/>
  <c r="J11" i="17"/>
  <c r="E49" i="21"/>
  <c r="K11" i="17" l="1"/>
  <c r="L11" i="17"/>
  <c r="J14" i="17"/>
  <c r="B9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4" authorId="0" shapeId="0" xr:uid="{00000000-0006-0000-1000-000001000000}">
      <text>
        <r>
          <rPr>
            <sz val="10"/>
            <rFont val="Arial"/>
            <family val="2"/>
          </rPr>
          <t>Discounts_EGP and Variable_Cost_EGP / Rep_Comm_EGP have no source ledger in this workbook (no discount, variable-cost, or commission dimension exists in TB_General_Journal or TB_Excursions_Sales tied to Client_ID). Values carried forward from the prior manual entries where a match was found; 0 where no prior entry existed. Manual input required for full accuracy.</t>
        </r>
      </text>
    </comment>
  </commentList>
</comments>
</file>

<file path=xl/sharedStrings.xml><?xml version="1.0" encoding="utf-8"?>
<sst xmlns="http://schemas.openxmlformats.org/spreadsheetml/2006/main" count="3266" uniqueCount="1374">
  <si>
    <t>🌐 DMC ERP MASTER WORKBOOK — NAVIGATION HUB</t>
  </si>
  <si>
    <t>Click any module below to navigate directly. All sheets have a 'Back to Home' button for quick return.</t>
  </si>
  <si>
    <t>📋 SETUP &amp; MASTER DATA</t>
  </si>
  <si>
    <t>Module</t>
  </si>
  <si>
    <t>Sheet Name</t>
  </si>
  <si>
    <t>Description</t>
  </si>
  <si>
    <t>Records</t>
  </si>
  <si>
    <t>Status</t>
  </si>
  <si>
    <t>▶</t>
  </si>
  <si>
    <t>TB_COA</t>
  </si>
  <si>
    <t>Chart of Accounts (Production)</t>
  </si>
  <si>
    <t>45 accounts, Hierarchical, Production Ready</t>
  </si>
  <si>
    <t>✅ Active</t>
  </si>
  <si>
    <t>Go →</t>
  </si>
  <si>
    <t>TB_CBE_Rates</t>
  </si>
  <si>
    <t>CBE Exchange Rates</t>
  </si>
  <si>
    <t>Daily FX rates, Source tracking</t>
  </si>
  <si>
    <t>TB_Clients_Master</t>
  </si>
  <si>
    <t>Clients Master</t>
  </si>
  <si>
    <t>10 clients, Credit limits, VAT reg</t>
  </si>
  <si>
    <t>TB_Hotels_Master</t>
  </si>
  <si>
    <t>Hotels Master</t>
  </si>
  <si>
    <t>10 hotels, Commission %, Contract rates</t>
  </si>
  <si>
    <t>TB_Reps_Master</t>
  </si>
  <si>
    <t>Reps Master</t>
  </si>
  <si>
    <t>8 reps, Float limits, Commission defaults</t>
  </si>
  <si>
    <t>TB_Suppliers_Master</t>
  </si>
  <si>
    <t>Suppliers Master</t>
  </si>
  <si>
    <t>10 suppliers, Payment terms, VAT</t>
  </si>
  <si>
    <t>TB_Dimensions</t>
  </si>
  <si>
    <t>Analytical Dimensions</t>
  </si>
  <si>
    <t>3 dimensions, 18 values, Mandatory tagging</t>
  </si>
  <si>
    <t>🔄 OPERATIONS</t>
  </si>
  <si>
    <t>TB_Master_Bookings</t>
  </si>
  <si>
    <t>Master Bookings</t>
  </si>
  <si>
    <t>11 bookings, Auto nights, FX conversion</t>
  </si>
  <si>
    <t>TB_Hotel_Accruals</t>
  </si>
  <si>
    <t>Hotel Accruals</t>
  </si>
  <si>
    <t>10 accruals, CBE rate lookup</t>
  </si>
  <si>
    <t>TB_Excursions_Sales</t>
  </si>
  <si>
    <t>Excursion Sales</t>
  </si>
  <si>
    <t>18 tickets, Auto commission, Deposit</t>
  </si>
  <si>
    <t>TB_Cash_Rep_Reconciliation</t>
  </si>
  <si>
    <t>Cash Reconciliation</t>
  </si>
  <si>
    <t>7 daily recs, Variance analysis</t>
  </si>
  <si>
    <t>TB_AP_Invoices</t>
  </si>
  <si>
    <t>AP Invoices</t>
  </si>
  <si>
    <t>8 invoices, Due dates, VAT calc</t>
  </si>
  <si>
    <t>TB_Bank_Reconciliation</t>
  </si>
  <si>
    <t>Bank Reconciliation</t>
  </si>
  <si>
    <t>5 recs, Auto-flag unmatched</t>
  </si>
  <si>
    <t>📊 ACCOUNTING &amp; COMPLIANCE</t>
  </si>
  <si>
    <t>TB_General_Journal</t>
  </si>
  <si>
    <t>General Journal</t>
  </si>
  <si>
    <t>20 lines, Double-entry, FX per line</t>
  </si>
  <si>
    <t>TB_Trial_Balance</t>
  </si>
  <si>
    <t>Trial Balance</t>
  </si>
  <si>
    <t>16 accounts, Auto-calculated</t>
  </si>
  <si>
    <t>TB_ETA_Integration</t>
  </si>
  <si>
    <t>ETA E-Invoice</t>
  </si>
  <si>
    <t>10 e-invoices, Portal reconciliation</t>
  </si>
  <si>
    <t>TB_Audit_Trail</t>
  </si>
  <si>
    <t>Audit Trail</t>
  </si>
  <si>
    <t>12 entries, User ID, Timestamp</t>
  </si>
  <si>
    <t>💰 REPORTING &amp; ANALYTICS</t>
  </si>
  <si>
    <t>TB_Budget_vs_Actual</t>
  </si>
  <si>
    <t>Budget vs Actual</t>
  </si>
  <si>
    <t>10 accounts, Variance %, YTD</t>
  </si>
  <si>
    <t>TB_Golden_Report</t>
  </si>
  <si>
    <t>Golden Report (TO P&amp;L)</t>
  </si>
  <si>
    <t>10 TOs, Net margin %, Action flags — CEO DASHBOARD</t>
  </si>
  <si>
    <t>🛠️ MIGRATION &amp; ADMIN</t>
  </si>
  <si>
    <t>TB_Migration_Plan</t>
  </si>
  <si>
    <t>COA Migration Plan</t>
  </si>
  <si>
    <t>5 phases, 28 steps — Follow strictly</t>
  </si>
  <si>
    <t>📖 DOCUMENTATION</t>
  </si>
  <si>
    <t>INDEX_User_Guide</t>
  </si>
  <si>
    <t>User Guide &amp; Roadmap</t>
  </si>
  <si>
    <t>Complete index, Limitations, Scale-up plan</t>
  </si>
  <si>
    <t>🆕 ADDITIONAL MODULES</t>
  </si>
  <si>
    <t>TB_WHT_Quarterly</t>
  </si>
  <si>
    <t>Per-invoice WHT tracking for EAS quarterly filing</t>
  </si>
  <si>
    <t>Live / Dynamic</t>
  </si>
  <si>
    <t>TB_Income_Statement</t>
  </si>
  <si>
    <t>Live P&amp;L by account class, sourced from Trial Balance</t>
  </si>
  <si>
    <t>TB_Balance_Sheet</t>
  </si>
  <si>
    <t>Live Assets = Liabilities + Equity check</t>
  </si>
  <si>
    <t>DMC ERP MASTER WORKBOOK - UNIFIED EDITION</t>
  </si>
  <si>
    <t>🏠 Back to Home</t>
  </si>
  <si>
    <t>Designed for DMC Operations in Egypt | EAS &amp; Tax Compliant | Multi-Currency | Scalable Framework</t>
  </si>
  <si>
    <t>MODULE INDEX</t>
  </si>
  <si>
    <t>Type</t>
  </si>
  <si>
    <t>Purpose</t>
  </si>
  <si>
    <t>Key Features</t>
  </si>
  <si>
    <t>Setup</t>
  </si>
  <si>
    <t>Chart of Accounts</t>
  </si>
  <si>
    <t>45 accounts</t>
  </si>
  <si>
    <t>IsActive flag, Multi-currency, Data Validation</t>
  </si>
  <si>
    <t>Daily FX Rates</t>
  </si>
  <si>
    <t>18 days</t>
  </si>
  <si>
    <t>USD/EUR/GBP, Source tracking</t>
  </si>
  <si>
    <t>Master Data</t>
  </si>
  <si>
    <t>Client Registry</t>
  </si>
  <si>
    <t>10 clients</t>
  </si>
  <si>
    <t>Credit limits, VAT reg, Payment terms</t>
  </si>
  <si>
    <t>Hotel Contracts</t>
  </si>
  <si>
    <t>10 hotels</t>
  </si>
  <si>
    <t>Star rating, Commission %, Contract rates</t>
  </si>
  <si>
    <t>Rep Registry</t>
  </si>
  <si>
    <t>8 reps</t>
  </si>
  <si>
    <t>Float limits, Commission defaults, Hotels assigned</t>
  </si>
  <si>
    <t>Operations</t>
  </si>
  <si>
    <t>Booking Register</t>
  </si>
  <si>
    <t>11 bookings</t>
  </si>
  <si>
    <t>Auto nights, FX conversion, Status tracking</t>
  </si>
  <si>
    <t>Cost Provisions</t>
  </si>
  <si>
    <t>10 accruals</t>
  </si>
  <si>
    <t>Linked to bookings, CBE rate lookup</t>
  </si>
  <si>
    <t>Excursion Tickets</t>
  </si>
  <si>
    <t>18 tickets</t>
  </si>
  <si>
    <t>Auto commission, Payment method, Deposit status</t>
  </si>
  <si>
    <t>Daily Cash Rec</t>
  </si>
  <si>
    <t>7 reconciliations</t>
  </si>
  <si>
    <t>Expected vs Actual, Variance analysis</t>
  </si>
  <si>
    <t>Supplier Invoices</t>
  </si>
  <si>
    <t>8 invoices</t>
  </si>
  <si>
    <t>Due dates, VAT calc, Status workflow</t>
  </si>
  <si>
    <t>Accounting</t>
  </si>
  <si>
    <t>Journal Entries</t>
  </si>
  <si>
    <t>20 lines</t>
  </si>
  <si>
    <t>Double-entry, FX rate per line, VAT support</t>
  </si>
  <si>
    <t>Reporting</t>
  </si>
  <si>
    <t>Period Balance</t>
  </si>
  <si>
    <t>16 accounts</t>
  </si>
  <si>
    <t>Auto-calculated from Journal</t>
  </si>
  <si>
    <t>QUICK START GUIDE</t>
  </si>
  <si>
    <t>Step</t>
  </si>
  <si>
    <t>Action</t>
  </si>
  <si>
    <t>Sheet</t>
  </si>
  <si>
    <t>Notes</t>
  </si>
  <si>
    <t>1</t>
  </si>
  <si>
    <t>Update CBE Rates daily</t>
  </si>
  <si>
    <t>Add new row with date and rates. All FX modules reference this sheet.</t>
  </si>
  <si>
    <t>2</t>
  </si>
  <si>
    <t>Register new clients/hotels/reps</t>
  </si>
  <si>
    <t>TB_Clients_Master, TB_Hotels_Master, TB_Reps_Master</t>
  </si>
  <si>
    <t>Use dropdown lists for Status and Type fields.</t>
  </si>
  <si>
    <t>3</t>
  </si>
  <si>
    <t>Record new bookings</t>
  </si>
  <si>
    <t>Nights auto-calculated. Total FX = Pax × Rate. Total EGP = Total FX × CBE Rate.</t>
  </si>
  <si>
    <t>4</t>
  </si>
  <si>
    <t>Create hotel accruals</t>
  </si>
  <si>
    <t>Link to Booking_Ref. Provision_EGP = Cost_FX × CBE_Rate.</t>
  </si>
  <si>
    <t>5</t>
  </si>
  <si>
    <t>Record excursion sales</t>
  </si>
  <si>
    <t>Sale Amount = Pax × Unit Price. Commission auto-calculated.</t>
  </si>
  <si>
    <t>6</t>
  </si>
  <si>
    <t>Reconcile daily cash</t>
  </si>
  <si>
    <t>Expected = Cash + POS - Commission. Variance = Actual - Expected.</t>
  </si>
  <si>
    <t>7</t>
  </si>
  <si>
    <t>Post journal entries</t>
  </si>
  <si>
    <t>Every transaction MUST have balanced Debit = Credit.</t>
  </si>
  <si>
    <t>8</t>
  </si>
  <si>
    <t>Review Trial Balance</t>
  </si>
  <si>
    <t>Verify Closing Balance and ensure TOTALS are BALANCED.</t>
  </si>
  <si>
    <t>FUTURE EXPANSION ROADMAP</t>
  </si>
  <si>
    <t>Priority</t>
  </si>
  <si>
    <t>Complexity</t>
  </si>
  <si>
    <t>Transport, excursion, and other suppliers registry</t>
  </si>
  <si>
    <t>High</t>
  </si>
  <si>
    <t>Low</t>
  </si>
  <si>
    <t>TB_Inventory_Master</t>
  </si>
  <si>
    <t>Track excursion equipment, gifts, consumables</t>
  </si>
  <si>
    <t>Medium</t>
  </si>
  <si>
    <t>TB_Employees_Payroll</t>
  </si>
  <si>
    <t>Salaries, social insurance, withholding tax</t>
  </si>
  <si>
    <t>Match bank statements with journal entries</t>
  </si>
  <si>
    <t>E-invoice submission and reconciliation with tax portal</t>
  </si>
  <si>
    <t>Critical</t>
  </si>
  <si>
    <t>TB_FX_Hedging</t>
  </si>
  <si>
    <t>Forward contracts and FX risk management</t>
  </si>
  <si>
    <t>Monthly budget tracking and variance analysis</t>
  </si>
  <si>
    <t>TB_Agent_Performance</t>
  </si>
  <si>
    <t>Revenue, margin, and collection analysis per agent</t>
  </si>
  <si>
    <t>TB_Seasonal_Forecasting</t>
  </si>
  <si>
    <t>Occupancy and revenue projections by season</t>
  </si>
  <si>
    <t>Log all changes with user ID and timestamp</t>
  </si>
  <si>
    <t>MODULE: CBE EXCHANGE RATES</t>
  </si>
  <si>
    <t>Daily official rates from Central Bank of Egypt. Extend range as needed. Used by all FX modules.</t>
  </si>
  <si>
    <t>Date</t>
  </si>
  <si>
    <t>USD_Rate</t>
  </si>
  <si>
    <t>EUR_Rate</t>
  </si>
  <si>
    <t>GBP_Rate</t>
  </si>
  <si>
    <t>Source</t>
  </si>
  <si>
    <t>Last_Updated_By</t>
  </si>
  <si>
    <t>2026-08-01</t>
  </si>
  <si>
    <t>CBE Official</t>
  </si>
  <si>
    <t>System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</si>
  <si>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</si>
  <si>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</si>
  <si>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</si>
  <si>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</si>
  <si>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</si>
  <si>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</si>
  <si>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</si>
  <si>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</si>
  <si>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</si>
  <si>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2026-08-14</t>
  </si>
  <si>
    <t>2026-08-15</t>
  </si>
  <si>
    <t>2026-08-16</t>
  </si>
  <si>
    <t>2026-08-17</t>
  </si>
  <si>
    <t>2026-08-18</t>
  </si>
  <si>
    <t>2026-08-22</t>
  </si>
  <si>
    <t>2026-08-24</t>
  </si>
  <si>
    <t>2026-08-25</t>
  </si>
  <si>
    <t>2026-08-11</t>
  </si>
  <si>
    <t>2026-08-12</t>
  </si>
  <si>
    <t>2026-08-13</t>
  </si>
  <si>
    <t>2026-08-19</t>
  </si>
  <si>
    <t>2026-08-20</t>
  </si>
  <si>
    <t>2026-08-21</t>
  </si>
  <si>
    <t>2026-08-23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</si>
  <si>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</si>
  <si>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</si>
  <si>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</si>
  <si>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</si>
  <si>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</si>
  <si>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</si>
  <si>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</si>
  <si>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</si>
  <si>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</si>
  <si>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</si>
  <si>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</si>
  <si>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</si>
  <si>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</si>
  <si>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</si>
  <si>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</si>
  <si>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</si>
  <si>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</si>
  <si>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</si>
  <si>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</si>
  <si>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</si>
  <si>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</si>
  <si>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MODULE: SUPPLIERS MASTER DATA</t>
  </si>
  <si>
    <t>Transport, excursion, and other suppliers registry. Linked to AP Invoices and Payments.</t>
  </si>
  <si>
    <t>Supplier_ID</t>
  </si>
  <si>
    <t>Supplier_Name</t>
  </si>
  <si>
    <t>Supplier_Type</t>
  </si>
  <si>
    <t>Category</t>
  </si>
  <si>
    <t>Contact_Person</t>
  </si>
  <si>
    <t>Contact_Email</t>
  </si>
  <si>
    <t>Phone</t>
  </si>
  <si>
    <t>Payment_Terms_Days</t>
  </si>
  <si>
    <t>Currency</t>
  </si>
  <si>
    <t>VAT_Registration</t>
  </si>
  <si>
    <t>WHT_Exempt</t>
  </si>
  <si>
    <t>Contract_Start</t>
  </si>
  <si>
    <t>Linked_Hotel_ID</t>
  </si>
  <si>
    <t>SUP-001</t>
  </si>
  <si>
    <t>Hurghada Transport Co.</t>
  </si>
  <si>
    <t>Transport</t>
  </si>
  <si>
    <t>Ground Transport</t>
  </si>
  <si>
    <t>Mr. Khaled Samy</t>
  </si>
  <si>
    <t>ops@hurghadatransport.com</t>
  </si>
  <si>
    <t>+20-65-123-4567</t>
  </si>
  <si>
    <t>EGP</t>
  </si>
  <si>
    <t>123456789</t>
  </si>
  <si>
    <t>Active</t>
  </si>
  <si>
    <t>2026-01-01</t>
  </si>
  <si>
    <t>Airport transfers &amp; city tours | WHT_Exempt=FALSE (subject to 3% WHT)</t>
  </si>
  <si>
    <t>SUP-002</t>
  </si>
  <si>
    <t>Red Sea Diving Center</t>
  </si>
  <si>
    <t>Excursion</t>
  </si>
  <si>
    <t>Water Sports</t>
  </si>
  <si>
    <t>Ms. Dalia Hassan</t>
  </si>
  <si>
    <t>bookings@rsdc.com</t>
  </si>
  <si>
    <t>+20-65-234-5678</t>
  </si>
  <si>
    <t>USD</t>
  </si>
  <si>
    <t>N/A</t>
  </si>
  <si>
    <t>2026-01-15</t>
  </si>
  <si>
    <t>Diving &amp; snorkeling trips | WHT_Exempt=FALSE (subject to 3% WHT)</t>
  </si>
  <si>
    <t>SUP-003</t>
  </si>
  <si>
    <t>Luxor Day Tours</t>
  </si>
  <si>
    <t>Cultural Tours</t>
  </si>
  <si>
    <t>Mr. Tarek El-Sayed</t>
  </si>
  <si>
    <t>info@luxordaytours.com</t>
  </si>
  <si>
    <t>+20-95-345-6789</t>
  </si>
  <si>
    <t>987654321</t>
  </si>
  <si>
    <t>2026-02-01</t>
  </si>
  <si>
    <t>Luxor temple &amp; valley tours | WHT_Exempt=FALSE (subject to 3% WHT)</t>
  </si>
  <si>
    <t>SUP-004</t>
  </si>
  <si>
    <t>Cairo Shuttle Express</t>
  </si>
  <si>
    <t>Inter-city</t>
  </si>
  <si>
    <t>Ms. Nour Ibrahim</t>
  </si>
  <si>
    <t>reservations@cairoshuttle.com</t>
  </si>
  <si>
    <t>+20-2-456-7890</t>
  </si>
  <si>
    <t>456789123</t>
  </si>
  <si>
    <t>2026-02-15</t>
  </si>
  <si>
    <t>Cairo-Hurghada shuttle service | WHT_Exempt=FALSE (subject to 3% WHT)</t>
  </si>
  <si>
    <t>SUP-005</t>
  </si>
  <si>
    <t>Desert Safari Adventures</t>
  </si>
  <si>
    <t>Adventure</t>
  </si>
  <si>
    <t>Mr. Omar Fathy</t>
  </si>
  <si>
    <t>adventures@desertsafari.com</t>
  </si>
  <si>
    <t>+20-65-567-8901</t>
  </si>
  <si>
    <t>2026-03-01</t>
  </si>
  <si>
    <t>Quad bikes &amp; camel rides | WHT_Exempt=FALSE (subject to 3% WHT)</t>
  </si>
  <si>
    <t>SUP-006</t>
  </si>
  <si>
    <t>Nile Cruise Operators</t>
  </si>
  <si>
    <t>Cruise</t>
  </si>
  <si>
    <t>Ms. Laila Mostafa</t>
  </si>
  <si>
    <t>charter@nilecruise.com</t>
  </si>
  <si>
    <t>+20-65-678-9012</t>
  </si>
  <si>
    <t>EUR</t>
  </si>
  <si>
    <t>789123456</t>
  </si>
  <si>
    <t>2026-03-15</t>
  </si>
  <si>
    <t>Luxor-Aswan cruise packages | WHT_Exempt=FALSE (subject to 3% WHT)</t>
  </si>
  <si>
    <t>SUP-007</t>
  </si>
  <si>
    <t>Sinai Tours &amp; Travel</t>
  </si>
  <si>
    <t>Religious/Cultural</t>
  </si>
  <si>
    <t>Mr. Wael Hamdy</t>
  </si>
  <si>
    <t>bookings@sinaitt.com</t>
  </si>
  <si>
    <t>+20-69-789-0123</t>
  </si>
  <si>
    <t>321654987</t>
  </si>
  <si>
    <t>2026-04-01</t>
  </si>
  <si>
    <t>St. Catherine &amp; Moses Mountain | WHT_Exempt=FALSE (subject to 3% WHT)</t>
  </si>
  <si>
    <t>SUP-008</t>
  </si>
  <si>
    <t>Hurghada Car Rental</t>
  </si>
  <si>
    <t>Car Hire</t>
  </si>
  <si>
    <t>Mr. Sami Farouk</t>
  </si>
  <si>
    <t>rentals@hurghadacars.com</t>
  </si>
  <si>
    <t>+20-65-890-1234</t>
  </si>
  <si>
    <t>2026-04-15</t>
  </si>
  <si>
    <t>Daily &amp; weekly car rentals | WHT_Exempt=FALSE (subject to 3% WHT)</t>
  </si>
  <si>
    <t>SUP-009</t>
  </si>
  <si>
    <t>Gift Shop Suppliers</t>
  </si>
  <si>
    <t>Retail</t>
  </si>
  <si>
    <t>Souvenirs</t>
  </si>
  <si>
    <t>Ms. Sara Khaled</t>
  </si>
  <si>
    <t>wholesale@gifts-egypt.com</t>
  </si>
  <si>
    <t>+20-65-901-2345</t>
  </si>
  <si>
    <t>654987321</t>
  </si>
  <si>
    <t>2026-05-01</t>
  </si>
  <si>
    <t>Pharaonic souvenirs &amp; gifts | WHT_Exempt=FALSE (subject to 3% WHT)</t>
  </si>
  <si>
    <t>SUP-010</t>
  </si>
  <si>
    <t>Marina Yacht Charters</t>
  </si>
  <si>
    <t>Luxury</t>
  </si>
  <si>
    <t>Mr. Karim Fathy</t>
  </si>
  <si>
    <t>charter@marinayacht.com</t>
  </si>
  <si>
    <t>+20-65-012-3456</t>
  </si>
  <si>
    <t>2026-05-15</t>
  </si>
  <si>
    <t>Private yacht &amp; fishing trips | WHT_Exempt=FALSE (subject to 3% WHT)</t>
  </si>
  <si>
    <t>SUP-HTL-001</t>
  </si>
  <si>
    <t>Steigenberger Aldau Beach</t>
  </si>
  <si>
    <t>Hotel</t>
  </si>
  <si>
    <t>HTL-001</t>
  </si>
  <si>
    <t>SUP-HTL-002</t>
  </si>
  <si>
    <t>Jaz Aquamarine Resort</t>
  </si>
  <si>
    <t>HTL-002</t>
  </si>
  <si>
    <t>SUP-HTL-003</t>
  </si>
  <si>
    <t>Sunrise Grand Select</t>
  </si>
  <si>
    <t>HTL-003</t>
  </si>
  <si>
    <t>SUP-HTL-004</t>
  </si>
  <si>
    <t>Sun &amp; Sea Beach Resort</t>
  </si>
  <si>
    <t>HTL-006</t>
  </si>
  <si>
    <t>SUP-HTL-005</t>
  </si>
  <si>
    <t>Coral Hills Resort</t>
  </si>
  <si>
    <t>HTL-007</t>
  </si>
  <si>
    <t>SUP-HTL-006</t>
  </si>
  <si>
    <t>Blue Lagoon Palace</t>
  </si>
  <si>
    <t>HTL-008</t>
  </si>
  <si>
    <t>SUP-HTL-007</t>
  </si>
  <si>
    <t>Desert Rose Plaza</t>
  </si>
  <si>
    <t>HTL-009</t>
  </si>
  <si>
    <t>SUP-HTL-008</t>
  </si>
  <si>
    <t>Seagull Beach Resort</t>
  </si>
  <si>
    <t>HTL-010</t>
  </si>
  <si>
    <t>SUP-HTL-009</t>
  </si>
  <si>
    <t>Pickalbatros Aqua Blu</t>
  </si>
  <si>
    <t>HTL-004</t>
  </si>
  <si>
    <t>SUP-HTL-010</t>
  </si>
  <si>
    <t>Sunny Days El Palacio</t>
  </si>
  <si>
    <t>HTL-005</t>
  </si>
  <si>
    <t>MODULE: CLIENTS MASTER DATA</t>
  </si>
  <si>
    <t>Master registry for all tour operators, agents, and direct clients. Credit limits and payment terms.</t>
  </si>
  <si>
    <t>Client_ID</t>
  </si>
  <si>
    <t>Client_Name</t>
  </si>
  <si>
    <t>Country</t>
  </si>
  <si>
    <t>Client_Type</t>
  </si>
  <si>
    <t>Credit_Limit_FX</t>
  </si>
  <si>
    <t>Credit_Currency</t>
  </si>
  <si>
    <t>Discount_Rate_Pct</t>
  </si>
  <si>
    <t>Created_Date</t>
  </si>
  <si>
    <t>CLI-001</t>
  </si>
  <si>
    <t>Alpine Sun Tours Group</t>
  </si>
  <si>
    <t>Austria</t>
  </si>
  <si>
    <t>Tour Operator</t>
  </si>
  <si>
    <t>ATU12345678</t>
  </si>
  <si>
    <t>finance@alpinesun.at</t>
  </si>
  <si>
    <t>DMC margin from hotel buy/sell, not client markup</t>
  </si>
  <si>
    <t>CLI-002</t>
  </si>
  <si>
    <t>Nordic Wave DMC</t>
  </si>
  <si>
    <t>Sweden</t>
  </si>
  <si>
    <t>SE5566778899</t>
  </si>
  <si>
    <t>accounts@nordicwave.se</t>
  </si>
  <si>
    <t>2026-01-20</t>
  </si>
  <si>
    <t>CLI-003</t>
  </si>
  <si>
    <t>BritSun Holidays</t>
  </si>
  <si>
    <t>UK</t>
  </si>
  <si>
    <t>GBP</t>
  </si>
  <si>
    <t>GB123456789</t>
  </si>
  <si>
    <t>payments@britsun.co.uk</t>
  </si>
  <si>
    <t>CLI-004</t>
  </si>
  <si>
    <t>Meridian Voyages</t>
  </si>
  <si>
    <t>Germany</t>
  </si>
  <si>
    <t>DE123456789</t>
  </si>
  <si>
    <t>billing@meridian-voyages.de</t>
  </si>
  <si>
    <t>2026-02-10</t>
  </si>
  <si>
    <t>CLI-005</t>
  </si>
  <si>
    <t>Red Sea Direct Bookings</t>
  </si>
  <si>
    <t>Egypt</t>
  </si>
  <si>
    <t>Walk-in</t>
  </si>
  <si>
    <t>CLI-006</t>
  </si>
  <si>
    <t>EuroSun Tours</t>
  </si>
  <si>
    <t>DE987654321</t>
  </si>
  <si>
    <t>finance@eurosun.de</t>
  </si>
  <si>
    <t>CLI-007</t>
  </si>
  <si>
    <t>Nile Breeze</t>
  </si>
  <si>
    <t>Local Agent</t>
  </si>
  <si>
    <t>info@nilebreeze.com</t>
  </si>
  <si>
    <t>CLI-008</t>
  </si>
  <si>
    <t>London Escape</t>
  </si>
  <si>
    <t>GB987654321</t>
  </si>
  <si>
    <t>bookings@londonescape.co.uk</t>
  </si>
  <si>
    <t>CLI-009</t>
  </si>
  <si>
    <t>Gulf Adventures</t>
  </si>
  <si>
    <t>UAE</t>
  </si>
  <si>
    <t>AE123456789</t>
  </si>
  <si>
    <t>accounts@gulfadventures.ae</t>
  </si>
  <si>
    <t>CLI-010</t>
  </si>
  <si>
    <t>SunSeeker Travel</t>
  </si>
  <si>
    <t>France</t>
  </si>
  <si>
    <t>FR12345678901</t>
  </si>
  <si>
    <t>compta@sunseeker.fr</t>
  </si>
  <si>
    <t>2026-06-01</t>
  </si>
  <si>
    <t>MODULE: HOTELS MASTER DATA</t>
  </si>
  <si>
    <t>Contracted hotels with rates, commissions, and payment terms. Linked to bookings and accruals.</t>
  </si>
  <si>
    <t>Hotel_ID</t>
  </si>
  <si>
    <t>Hotel_Name</t>
  </si>
  <si>
    <t>Star_Rating</t>
  </si>
  <si>
    <t>Location</t>
  </si>
  <si>
    <t>Buying_Rate_FX</t>
  </si>
  <si>
    <t>Selling_Rate_FX</t>
  </si>
  <si>
    <t>DMC_Margin_FX</t>
  </si>
  <si>
    <t>DMC_Margin_Pct</t>
  </si>
  <si>
    <t>Hurghada</t>
  </si>
  <si>
    <t>Mr. Ahmed Hassan</t>
  </si>
  <si>
    <t>ahmed@steigenberger.com</t>
  </si>
  <si>
    <t>sara@jazhotels.com</t>
  </si>
  <si>
    <t>karim@sunrise.com</t>
  </si>
  <si>
    <t>Ms. Dina Samir</t>
  </si>
  <si>
    <t>dina@pickalbatros.com</t>
  </si>
  <si>
    <t>Mr. Hossam Ali</t>
  </si>
  <si>
    <t>hossam@sunnydays.com</t>
  </si>
  <si>
    <t>Mr. Tarek Salah</t>
  </si>
  <si>
    <t>tarek@sunsea.com</t>
  </si>
  <si>
    <t>nour@coralhills.com</t>
  </si>
  <si>
    <t>sami@bluelagoon.com</t>
  </si>
  <si>
    <t>laila@desertrose.com</t>
  </si>
  <si>
    <t>wael@seagull.com</t>
  </si>
  <si>
    <t>MODULE: REPS MASTER DATA</t>
  </si>
  <si>
    <t>Resort representatives with assigned hotels, commission rates, and cash float limits.</t>
  </si>
  <si>
    <t>Rep_ID</t>
  </si>
  <si>
    <t>Rep_Name</t>
  </si>
  <si>
    <t>Nationality</t>
  </si>
  <si>
    <t>Hotel_Assigned</t>
  </si>
  <si>
    <t>Base_Salary_EGP</t>
  </si>
  <si>
    <t>Commission_Rate_Default</t>
  </si>
  <si>
    <t>Cash_Float_EGP</t>
  </si>
  <si>
    <t>Start_Date</t>
  </si>
  <si>
    <t>Emergency_Contact</t>
  </si>
  <si>
    <t>Client_ID (linked)</t>
  </si>
  <si>
    <t>REP-01</t>
  </si>
  <si>
    <t>Mohamed Ali</t>
  </si>
  <si>
    <t>Egyptian</t>
  </si>
  <si>
    <t>+20-100-111-2222</t>
  </si>
  <si>
    <t>REP-02</t>
  </si>
  <si>
    <t>Ahmed Ibrahim</t>
  </si>
  <si>
    <t>+20-100-333-4444</t>
  </si>
  <si>
    <t>REP-03</t>
  </si>
  <si>
    <t>Sara Hassan</t>
  </si>
  <si>
    <t>+20-100-555-6666</t>
  </si>
  <si>
    <t>REP-04</t>
  </si>
  <si>
    <t>Khaled Omar</t>
  </si>
  <si>
    <t>+20-100-777-8888</t>
  </si>
  <si>
    <t>REP-05</t>
  </si>
  <si>
    <t>Lina Farouk</t>
  </si>
  <si>
    <t>On Leave</t>
  </si>
  <si>
    <t>+20-100-999-0000</t>
  </si>
  <si>
    <t>REP-HRG-01</t>
  </si>
  <si>
    <t>Omar Fathy</t>
  </si>
  <si>
    <t>+20-101-111-2222</t>
  </si>
  <si>
    <t>REP-HRG-02</t>
  </si>
  <si>
    <t>Nadia Samir</t>
  </si>
  <si>
    <t>+20-101-333-4444</t>
  </si>
  <si>
    <t>REP-HRG-03</t>
  </si>
  <si>
    <t>Tamer Hosny</t>
  </si>
  <si>
    <t>+20-101-555-6666</t>
  </si>
  <si>
    <t>MODULE: MASTER BOOKINGS</t>
  </si>
  <si>
    <t>All inbound bookings from tour operators and direct clients. Auto-calculates nights, total FX, and EGP.</t>
  </si>
  <si>
    <t>Booking_Ref</t>
  </si>
  <si>
    <t>Agent_Name</t>
  </si>
  <si>
    <t>Pax_Count</t>
  </si>
  <si>
    <t>Check_In</t>
  </si>
  <si>
    <t>Check_Out</t>
  </si>
  <si>
    <t>Nights</t>
  </si>
  <si>
    <t>Contracted_Rate_Foreign</t>
  </si>
  <si>
    <t>Total_FX</t>
  </si>
  <si>
    <t>CBE_Rate_at_Departure</t>
  </si>
  <si>
    <t>Total_EGP</t>
  </si>
  <si>
    <t>Hotel_Provision_EGP</t>
  </si>
  <si>
    <t>HRG-2026-0815</t>
  </si>
  <si>
    <t>Alpine Sun Tours (Austria)</t>
  </si>
  <si>
    <t>Checked Out</t>
  </si>
  <si>
    <t>HRG-2026-0816</t>
  </si>
  <si>
    <t>Nordic Wave DMC (Sweden)</t>
  </si>
  <si>
    <t>HRG-2026-0817</t>
  </si>
  <si>
    <t>BritSun Holidays (UK)</t>
  </si>
  <si>
    <t>HRG-2026-0818</t>
  </si>
  <si>
    <t>Meridian Voyages (Germany)</t>
  </si>
  <si>
    <t>HRG-2026-0819</t>
  </si>
  <si>
    <t>Direct / Walk-in</t>
  </si>
  <si>
    <t>HRG-2026-0820</t>
  </si>
  <si>
    <t>SunSeeker Travel (France)</t>
  </si>
  <si>
    <t>Confirmed</t>
  </si>
  <si>
    <t>MBR-2026-0001</t>
  </si>
  <si>
    <t>Berlin Leisure</t>
  </si>
  <si>
    <t>Invoiced</t>
  </si>
  <si>
    <t>MBR-2026-0002</t>
  </si>
  <si>
    <t>Cairo Gateway</t>
  </si>
  <si>
    <t>MBR-2026-0003</t>
  </si>
  <si>
    <t>UK Direct</t>
  </si>
  <si>
    <t>MBR-2026-0004</t>
  </si>
  <si>
    <t>Gulf Reps</t>
  </si>
  <si>
    <t>MBR-2026-0005</t>
  </si>
  <si>
    <t>Hurghada Direct</t>
  </si>
  <si>
    <t>MODULE: HOTEL ACCRUALS</t>
  </si>
  <si>
    <t>Cost provisions for hotel stays. Linked to bookings via Booking_Ref. Auto-converts FX to EGP.</t>
  </si>
  <si>
    <t>Accrual_ID</t>
  </si>
  <si>
    <t>Check_Out_Date</t>
  </si>
  <si>
    <t>Cost_Foreign</t>
  </si>
  <si>
    <t>CBE_Rate</t>
  </si>
  <si>
    <t>Provision_EGP</t>
  </si>
  <si>
    <t>ACR-0001</t>
  </si>
  <si>
    <t>Posted</t>
  </si>
  <si>
    <t>ACR-0002</t>
  </si>
  <si>
    <t>ACR-0003</t>
  </si>
  <si>
    <t>ACR-0004</t>
  </si>
  <si>
    <t>ACR-0005</t>
  </si>
  <si>
    <t>ACC-0001</t>
  </si>
  <si>
    <t>ACC-0002</t>
  </si>
  <si>
    <t>ACC-0003</t>
  </si>
  <si>
    <t>ACC-0004</t>
  </si>
  <si>
    <t>ACC-0005</t>
  </si>
  <si>
    <t>MODULE: EXCURSIONS SALES</t>
  </si>
  <si>
    <t>Daily excursion tickets sold by reps. Auto-calculates commission and EGP equivalent.</t>
  </si>
  <si>
    <t>Ticket_ID</t>
  </si>
  <si>
    <t>Sale_Date</t>
  </si>
  <si>
    <t>Guest_Name</t>
  </si>
  <si>
    <t>Excursion_Type</t>
  </si>
  <si>
    <t>Pax_Qty</t>
  </si>
  <si>
    <t>Unit_Price_FX</t>
  </si>
  <si>
    <t>Sale_Amount_FX</t>
  </si>
  <si>
    <t>Sale_Amount_EGP</t>
  </si>
  <si>
    <t>Payment_Method</t>
  </si>
  <si>
    <t>Commission_Pct</t>
  </si>
  <si>
    <t>Rep_Commission_FX</t>
  </si>
  <si>
    <t>Rep_Commission_EGP</t>
  </si>
  <si>
    <t>Deposit_Status</t>
  </si>
  <si>
    <t>TCK-1001</t>
  </si>
  <si>
    <t>Hans Gruber</t>
  </si>
  <si>
    <t>Luxor Full Day</t>
  </si>
  <si>
    <t>Cash</t>
  </si>
  <si>
    <t>Deposited</t>
  </si>
  <si>
    <t>TCK-1002</t>
  </si>
  <si>
    <t>Ingrid Berg</t>
  </si>
  <si>
    <t>Sea Trip Snorkeling</t>
  </si>
  <si>
    <t>POS</t>
  </si>
  <si>
    <t>POS Settlement</t>
  </si>
  <si>
    <t>TCK-1003</t>
  </si>
  <si>
    <t>Marco Rossi</t>
  </si>
  <si>
    <t>Desert Safari</t>
  </si>
  <si>
    <t>TCK-1004</t>
  </si>
  <si>
    <t>Lena Weber</t>
  </si>
  <si>
    <t>TCK-1005</t>
  </si>
  <si>
    <t>James Cole</t>
  </si>
  <si>
    <t>TCK-1006</t>
  </si>
  <si>
    <t>Otto Frank</t>
  </si>
  <si>
    <t>Quad Bike Safari</t>
  </si>
  <si>
    <t>TCK-1007</t>
  </si>
  <si>
    <t>Sara Nilsson</t>
  </si>
  <si>
    <t>TCK-1008</t>
  </si>
  <si>
    <t>Tom Baker</t>
  </si>
  <si>
    <t>TCK-1009</t>
  </si>
  <si>
    <t>Alice Wu</t>
  </si>
  <si>
    <t>TCK-1010</t>
  </si>
  <si>
    <t>Karl Braun</t>
  </si>
  <si>
    <t>TKT-1001</t>
  </si>
  <si>
    <t>Anna Schmidt</t>
  </si>
  <si>
    <t>Sea Trip</t>
  </si>
  <si>
    <t>TKT-1002</t>
  </si>
  <si>
    <t>Mark Weber</t>
  </si>
  <si>
    <t>TKT-1003</t>
  </si>
  <si>
    <t>Sofia Muller</t>
  </si>
  <si>
    <t>Safari</t>
  </si>
  <si>
    <t>TKT-1004</t>
  </si>
  <si>
    <t>John Smith</t>
  </si>
  <si>
    <t>Luxor</t>
  </si>
  <si>
    <t>TKT-1005</t>
  </si>
  <si>
    <t>Emma Brown</t>
  </si>
  <si>
    <t>Pending</t>
  </si>
  <si>
    <t>TKT-1006</t>
  </si>
  <si>
    <t>Hans Fischer</t>
  </si>
  <si>
    <t>TKT-1007</t>
  </si>
  <si>
    <t>Laura Becker</t>
  </si>
  <si>
    <t>TKT-1008</t>
  </si>
  <si>
    <t>Paul Wagner</t>
  </si>
  <si>
    <t>MODULE: CASH RECONCILIATION</t>
  </si>
  <si>
    <t>Daily cash reconciliation per rep. Expected = Cash + POS - Commission. Variance = Actual - Expected.</t>
  </si>
  <si>
    <t>Reconciliation_ID</t>
  </si>
  <si>
    <t>Business_Date</t>
  </si>
  <si>
    <t>Total_Cash_Collected_EGP</t>
  </si>
  <si>
    <t>POS_Amount_EGP</t>
  </si>
  <si>
    <t>Commission_Deducted_EGP</t>
  </si>
  <si>
    <t>Expected_Net_Cash_EGP</t>
  </si>
  <si>
    <t>Actual_Net_Cash_Deposited_EGP</t>
  </si>
  <si>
    <t>Variance_EGP</t>
  </si>
  <si>
    <t>REC-0001</t>
  </si>
  <si>
    <t>Exception</t>
  </si>
  <si>
    <t>REC-0002</t>
  </si>
  <si>
    <t>Reconciled</t>
  </si>
  <si>
    <t>REC-0003</t>
  </si>
  <si>
    <t>REC-0004</t>
  </si>
  <si>
    <t>REC-0005</t>
  </si>
  <si>
    <t>REC-0006</t>
  </si>
  <si>
    <t>REC-0007</t>
  </si>
  <si>
    <t>MODULE: ACCOUNTS PAYABLE - INVOICES</t>
  </si>
  <si>
    <t>Supplier invoices for hotels, transport, and excursions. Linked to bookings and accruals.</t>
  </si>
  <si>
    <t>Invoice_ID</t>
  </si>
  <si>
    <t>Invoice_Type</t>
  </si>
  <si>
    <t>Invoice_Date</t>
  </si>
  <si>
    <t>Due_Date</t>
  </si>
  <si>
    <t>Amount_FX</t>
  </si>
  <si>
    <t>Amount_EGP</t>
  </si>
  <si>
    <t>VAT_Amount_EGP</t>
  </si>
  <si>
    <t>AP-0001</t>
  </si>
  <si>
    <t>AP-0002</t>
  </si>
  <si>
    <t>AP-0003</t>
  </si>
  <si>
    <t>2026-09-25</t>
  </si>
  <si>
    <t>AP-0004</t>
  </si>
  <si>
    <t>2026-09-22</t>
  </si>
  <si>
    <t>AP-0005</t>
  </si>
  <si>
    <t>AP-0006</t>
  </si>
  <si>
    <t>2026-10-09</t>
  </si>
  <si>
    <t>AP-0007</t>
  </si>
  <si>
    <t>AP-0008</t>
  </si>
  <si>
    <t>MODULE: BANK RECONCILIATION</t>
  </si>
  <si>
    <t>Match bank statements with journal entries. Auto-flags unmatched items and calculates reconciled balance.</t>
  </si>
  <si>
    <t>Recon_ID</t>
  </si>
  <si>
    <t>Bank_Account</t>
  </si>
  <si>
    <t>Statement_Date</t>
  </si>
  <si>
    <t>Statement_Balance_FX</t>
  </si>
  <si>
    <t>FX_Currency</t>
  </si>
  <si>
    <t>Statement_Balance_EGP</t>
  </si>
  <si>
    <t>GL_Balance_EGP</t>
  </si>
  <si>
    <t>Difference_EGP</t>
  </si>
  <si>
    <t>Unmatched_Dr_Count</t>
  </si>
  <si>
    <t>Unmatched_Cr_Count</t>
  </si>
  <si>
    <t>Reconciled_By</t>
  </si>
  <si>
    <t>Recon_Date</t>
  </si>
  <si>
    <t>BR-0001</t>
  </si>
  <si>
    <t>Bank - FCY Operations (1001)</t>
  </si>
  <si>
    <t>Ahmed Hassan</t>
  </si>
  <si>
    <t>2 unmatched deposits, 1 unmatched withdrawal</t>
  </si>
  <si>
    <t>BR-0002</t>
  </si>
  <si>
    <t>Bank Account - EUR (1011)</t>
  </si>
  <si>
    <t>Sara Khaled</t>
  </si>
  <si>
    <t>Perfect match - all items cleared</t>
  </si>
  <si>
    <t>BR-0003</t>
  </si>
  <si>
    <t>Pending bank charges clarification</t>
  </si>
  <si>
    <t>BR-0004</t>
  </si>
  <si>
    <t>Weekly reconciliation completed</t>
  </si>
  <si>
    <t>BR-0005</t>
  </si>
  <si>
    <t>Mid-month check</t>
  </si>
  <si>
    <t>MODULE: BUDGET VS ACTUAL</t>
  </si>
  <si>
    <t>Monthly budget tracking and variance analysis. Auto-calculates variance % and flags significant deviations (&gt;10%).</t>
  </si>
  <si>
    <t>Period</t>
  </si>
  <si>
    <t>Account_Code</t>
  </si>
  <si>
    <t>Account_Name</t>
  </si>
  <si>
    <t>Account_Type</t>
  </si>
  <si>
    <t>Budget_EGP</t>
  </si>
  <si>
    <t>Actual_EGP</t>
  </si>
  <si>
    <t>Variance_Pct</t>
  </si>
  <si>
    <t>YTD_Budget_EGP</t>
  </si>
  <si>
    <t>YTD_Actual_EGP</t>
  </si>
  <si>
    <t>YTD_Variance_Pct</t>
  </si>
  <si>
    <t>2026-08</t>
  </si>
  <si>
    <t>4000</t>
  </si>
  <si>
    <t>Revenue - Package Tours (Bookings)</t>
  </si>
  <si>
    <t>Revenue</t>
  </si>
  <si>
    <t>August peak season - slightly below target</t>
  </si>
  <si>
    <t>4100</t>
  </si>
  <si>
    <t>Revenue - In-Resort Excursions</t>
  </si>
  <si>
    <t>Low excursion sales - weather impact</t>
  </si>
  <si>
    <t>4101</t>
  </si>
  <si>
    <t>Revenue - Inbound Packages</t>
  </si>
  <si>
    <t>New clients ramping up</t>
  </si>
  <si>
    <t>4900</t>
  </si>
  <si>
    <t>Realized FX Gain</t>
  </si>
  <si>
    <t>FX volatility lower than forecast</t>
  </si>
  <si>
    <t>5000</t>
  </si>
  <si>
    <t>Cost of Sales - Hotel Accommodation</t>
  </si>
  <si>
    <t>Expense</t>
  </si>
  <si>
    <t>Within acceptable range</t>
  </si>
  <si>
    <t>5101</t>
  </si>
  <si>
    <t>COGS - Hotel Contracts</t>
  </si>
  <si>
    <t>Contract renegotiation pending</t>
  </si>
  <si>
    <t>5300</t>
  </si>
  <si>
    <t>Rep Commission Expense</t>
  </si>
  <si>
    <t>Commission rate higher than planned</t>
  </si>
  <si>
    <t>5401</t>
  </si>
  <si>
    <t>FX Gain/Loss</t>
  </si>
  <si>
    <t>Expense/Income</t>
  </si>
  <si>
    <t>Gain booked - favorable movement</t>
  </si>
  <si>
    <t>2101</t>
  </si>
  <si>
    <t>Output VAT Payable (14%)</t>
  </si>
  <si>
    <t>Liability</t>
  </si>
  <si>
    <t>VAT tracking accurate</t>
  </si>
  <si>
    <t>2300</t>
  </si>
  <si>
    <t>Rep Commission Payable</t>
  </si>
  <si>
    <t>Accrued commissions aligned</t>
  </si>
  <si>
    <t>2-3200</t>
  </si>
  <si>
    <t>Withholding Tax Payable (3%)</t>
  </si>
  <si>
    <t>WHT on all AP invoices Q3-2026</t>
  </si>
  <si>
    <t>MODULE: AUDIT TRAIL</t>
  </si>
  <si>
    <t>Log of all critical changes with user ID, timestamp, and before/after values. WARNING: Excel is NOT immutable — use version control or migrate to SQL for production.</t>
  </si>
  <si>
    <t>⚠️ CRITICAL LIMITATION: Excel allows editing of historical records. For EAS compliance at scale, migrate to an immutable database (SQL) with timestamped transactions.</t>
  </si>
  <si>
    <t>Log_ID</t>
  </si>
  <si>
    <t>Timestamp</t>
  </si>
  <si>
    <t>User_ID</t>
  </si>
  <si>
    <t>Sheet_Name</t>
  </si>
  <si>
    <t>Row_Reference</t>
  </si>
  <si>
    <t>Action_Type</t>
  </si>
  <si>
    <t>Field_Changed</t>
  </si>
  <si>
    <t>Old_Value</t>
  </si>
  <si>
    <t>New_Value</t>
  </si>
  <si>
    <t>Voucher_Ref</t>
  </si>
  <si>
    <t>Approval_Status</t>
  </si>
  <si>
    <t>LOG-0001</t>
  </si>
  <si>
    <t>2026-08-10 09:15:23</t>
  </si>
  <si>
    <t>ahmed.hassan</t>
  </si>
  <si>
    <t>Row 5</t>
  </si>
  <si>
    <t>INSERT</t>
  </si>
  <si>
    <t>Debit_EGP</t>
  </si>
  <si>
    <t>4662.6</t>
  </si>
  <si>
    <t>JV-0002</t>
  </si>
  <si>
    <t>Auto-Posted</t>
  </si>
  <si>
    <t>Excursion cash sale recorded</t>
  </si>
  <si>
    <t>LOG-0002</t>
  </si>
  <si>
    <t>Row 6</t>
  </si>
  <si>
    <t>Credit_EGP</t>
  </si>
  <si>
    <t>Revenue recognition entry</t>
  </si>
  <si>
    <t>LOG-0003</t>
  </si>
  <si>
    <t>2026-08-10 14:30:00</t>
  </si>
  <si>
    <t>sara.khaled</t>
  </si>
  <si>
    <t>Row 11</t>
  </si>
  <si>
    <t>UPDATE</t>
  </si>
  <si>
    <t>49.12</t>
  </si>
  <si>
    <t>49.15</t>
  </si>
  <si>
    <t>Approved</t>
  </si>
  <si>
    <t>CBE rate updated for Aug 10</t>
  </si>
  <si>
    <t>LOG-0004</t>
  </si>
  <si>
    <t>2026-08-22 10:00:00</t>
  </si>
  <si>
    <t>mohamed.ali</t>
  </si>
  <si>
    <t>Sun &amp; Sea invoice registered</t>
  </si>
  <si>
    <t>LOG-0005</t>
  </si>
  <si>
    <t>2026-08-22 10:05:00</t>
  </si>
  <si>
    <t>Invoice approved for payment</t>
  </si>
  <si>
    <t>LOG-0006</t>
  </si>
  <si>
    <t>2026-08-25 11:20:00</t>
  </si>
  <si>
    <t>Row 21</t>
  </si>
  <si>
    <t>2124640</t>
  </si>
  <si>
    <t>JV-0009</t>
  </si>
  <si>
    <t>Hotel payment to Sun &amp; Sea</t>
  </si>
  <si>
    <t>LOG-0007</t>
  </si>
  <si>
    <t>Row 22</t>
  </si>
  <si>
    <t>Bank deduction for hotel payment</t>
  </si>
  <si>
    <t>LOG-0008</t>
  </si>
  <si>
    <t>2026-08-25 16:45:00</t>
  </si>
  <si>
    <t>Row 4</t>
  </si>
  <si>
    <t>EUR account reconciled</t>
  </si>
  <si>
    <t>LOG-0013</t>
  </si>
  <si>
    <t>2026-08-13 10:00:00</t>
  </si>
  <si>
    <t>system</t>
  </si>
  <si>
    <t>1-3400</t>
  </si>
  <si>
    <t>JV-0001</t>
  </si>
  <si>
    <t>Input VAT added to hotel accrual</t>
  </si>
  <si>
    <t>LOG-0014</t>
  </si>
  <si>
    <t>JV-0007</t>
  </si>
  <si>
    <t>LOG-0015</t>
  </si>
  <si>
    <t>Row 27</t>
  </si>
  <si>
    <t>6-8000</t>
  </si>
  <si>
    <t>FX Loss added to supplier payment</t>
  </si>
  <si>
    <t>LOG-0016</t>
  </si>
  <si>
    <t>Row 28</t>
  </si>
  <si>
    <t>WHT 3% added to supplier payment</t>
  </si>
  <si>
    <t>LOG-0017</t>
  </si>
  <si>
    <t>Row 29</t>
  </si>
  <si>
    <t>Input VAT recovery net of WHT</t>
  </si>
  <si>
    <t>LOG-0018</t>
  </si>
  <si>
    <t>Row 30-31</t>
  </si>
  <si>
    <t>Voucher_No</t>
  </si>
  <si>
    <t>JV-0010</t>
  </si>
  <si>
    <t>WHT quarterly payment Q3-2026</t>
  </si>
  <si>
    <t>LOG-0019</t>
  </si>
  <si>
    <t>Row 50</t>
  </si>
  <si>
    <t>WHT Payable account added</t>
  </si>
  <si>
    <t>LOG-0020</t>
  </si>
  <si>
    <t>All</t>
  </si>
  <si>
    <t>FALSE</t>
  </si>
  <si>
    <t>WHT exemption flag added to all suppliers</t>
  </si>
  <si>
    <t>Row 20</t>
  </si>
  <si>
    <t>Row 26</t>
  </si>
  <si>
    <t>Row 29-30</t>
  </si>
  <si>
    <t>MODULE: ANALYTICAL DIMENSIONS</t>
  </si>
  <si>
    <t>Mandatory analytical dimensions for DMC reporting. Every journal entry MUST tag at least one dimension for P&amp;L analysis.</t>
  </si>
  <si>
    <t>DIMENSION DEFINITIONS</t>
  </si>
  <si>
    <t>Dimension_Code</t>
  </si>
  <si>
    <t>Dimension_Name</t>
  </si>
  <si>
    <t>Mandatory</t>
  </si>
  <si>
    <t>Applies_To</t>
  </si>
  <si>
    <t>DIM-TO</t>
  </si>
  <si>
    <t>Tour Operator / Market</t>
  </si>
  <si>
    <t>Source market or tour operator generating the revenue/cost</t>
  </si>
  <si>
    <t>YES</t>
  </si>
  <si>
    <t>Revenue, COGS, AR</t>
  </si>
  <si>
    <t>DIM-REG</t>
  </si>
  <si>
    <t>Destination / Region</t>
  </si>
  <si>
    <t>Geographic region where service is delivered</t>
  </si>
  <si>
    <t>All transactions</t>
  </si>
  <si>
    <t>DIM-EXC-TYPE</t>
  </si>
  <si>
    <t>Excursion Category</t>
  </si>
  <si>
    <t>Type of excursion for margin analysis</t>
  </si>
  <si>
    <t>NO</t>
  </si>
  <si>
    <t>Excursion Revenue &amp; COGS</t>
  </si>
  <si>
    <t>DIM-HOTEL</t>
  </si>
  <si>
    <t>Hotel Property</t>
  </si>
  <si>
    <t>Specific hotel for cost allocation</t>
  </si>
  <si>
    <t>Hotel Revenue &amp; COGS</t>
  </si>
  <si>
    <t>DIM-CLIENT</t>
  </si>
  <si>
    <t>Client Segment</t>
  </si>
  <si>
    <t>B2B vs B2C segmentation</t>
  </si>
  <si>
    <t>Revenue, AR</t>
  </si>
  <si>
    <t>DIM-TO: TOUR OPERATOR / MARKET VALUES</t>
  </si>
  <si>
    <t>Value_Code</t>
  </si>
  <si>
    <t>Value_Name</t>
  </si>
  <si>
    <t>Payment_Terms</t>
  </si>
  <si>
    <t>TO-001</t>
  </si>
  <si>
    <t>TUI Germany</t>
  </si>
  <si>
    <t>TO-002</t>
  </si>
  <si>
    <t>Al-Tayyar KSA</t>
  </si>
  <si>
    <t>Saudi Arabia</t>
  </si>
  <si>
    <t>SAR</t>
  </si>
  <si>
    <t>TO-003</t>
  </si>
  <si>
    <t>OTA Ukraine</t>
  </si>
  <si>
    <t>Ukraine</t>
  </si>
  <si>
    <t>TO-004</t>
  </si>
  <si>
    <t>B2C Polish Direct</t>
  </si>
  <si>
    <t>Poland</t>
  </si>
  <si>
    <t>PLN</t>
  </si>
  <si>
    <t>TO-005</t>
  </si>
  <si>
    <t>TO-006</t>
  </si>
  <si>
    <t>TO-007</t>
  </si>
  <si>
    <t>TO-008</t>
  </si>
  <si>
    <t>DIM-REG: DESTINATION / REGION VALUES</t>
  </si>
  <si>
    <t>Location_Type</t>
  </si>
  <si>
    <t>Seasonality</t>
  </si>
  <si>
    <t>REG-01</t>
  </si>
  <si>
    <t>Beach Resort</t>
  </si>
  <si>
    <t>Year-round</t>
  </si>
  <si>
    <t>Main hub - 60% of operations</t>
  </si>
  <si>
    <t>REG-02</t>
  </si>
  <si>
    <t>Sharm El Sheikh</t>
  </si>
  <si>
    <t>Secondary hub - 25% of operations</t>
  </si>
  <si>
    <t>REG-03</t>
  </si>
  <si>
    <t>Cultural</t>
  </si>
  <si>
    <t>Oct-Apr</t>
  </si>
  <si>
    <t>Nile cruise &amp; temple tours</t>
  </si>
  <si>
    <t>REG-04</t>
  </si>
  <si>
    <t>Cairo</t>
  </si>
  <si>
    <t>City</t>
  </si>
  <si>
    <t>Airport transfers &amp; city tours</t>
  </si>
  <si>
    <t>REG-05</t>
  </si>
  <si>
    <t>Marsa Alam</t>
  </si>
  <si>
    <t>Beach/Diving</t>
  </si>
  <si>
    <t>Mar-Nov</t>
  </si>
  <si>
    <t>Diving &amp; marine excursions</t>
  </si>
  <si>
    <t>DIM-EXC-TYPE: EXCURSION CATEGORY VALUES</t>
  </si>
  <si>
    <t>Margin_Target_Pct</t>
  </si>
  <si>
    <t>Avg_Price_EGP</t>
  </si>
  <si>
    <t>CAT-01</t>
  </si>
  <si>
    <t>Marine</t>
  </si>
  <si>
    <t>Snorkeling, diving, boat trips</t>
  </si>
  <si>
    <t>CAT-02</t>
  </si>
  <si>
    <t>Desert safari, quad bikes, camel rides</t>
  </si>
  <si>
    <t>CAT-03</t>
  </si>
  <si>
    <t>Luxor, Cairo, temple tours</t>
  </si>
  <si>
    <t>CAT-04</t>
  </si>
  <si>
    <t>Parasailing, kite surfing</t>
  </si>
  <si>
    <t>CAT-05</t>
  </si>
  <si>
    <t>Private yacht, VIP experiences</t>
  </si>
  <si>
    <t>MODULE: THE GOLDEN REPORT — TOUR OPERATOR P&amp;L</t>
  </si>
  <si>
    <t>Live Operational Management P&amp;L per Tour Operator / Client, driven by Bookings, Hotel Accruals, Excursion Sales and Rep data. 📌 MANAGEMENT ARCHITECTURE NOTE: This Golden Report is an Operational Management P&amp;L driven by live Bookings and Field Sales data. For Statutory Accounting Statements, refer to TB_Income_Statement and TB_Balance_Sheet.</t>
  </si>
  <si>
    <t>Tour_Operator</t>
  </si>
  <si>
    <t>Booking_Revenue_EGP</t>
  </si>
  <si>
    <t>Discounts_EGP</t>
  </si>
  <si>
    <t>Net_Revenue_EGP</t>
  </si>
  <si>
    <t>Supplier_Cost_EGP</t>
  </si>
  <si>
    <t>Variable_Cost_EGP</t>
  </si>
  <si>
    <t>Rep_Comm_EGP</t>
  </si>
  <si>
    <t>Net_Margin_EGP</t>
  </si>
  <si>
    <t>Margin_Pct</t>
  </si>
  <si>
    <t>Performance_Band</t>
  </si>
  <si>
    <t>Action_Required</t>
  </si>
  <si>
    <t>GRAND TOTAL</t>
  </si>
  <si>
    <t>✅ MIGRATION COMPLETE — ALL STEPS FINISHED. WORKBOOK VALIDATED AND PRODUCTION READY.</t>
  </si>
  <si>
    <t>MODULE: COA MIGRATION PLAN</t>
  </si>
  <si>
    <t>Step-by-step migration plan from old COA (4-digit flat) to new COA (hierarchical 1-xxxx). DO NOT SKIP STEPS. Backup before starting.</t>
  </si>
  <si>
    <t>🛑 CRITICAL: Before starting migration, create a backup copy of this workbook. Any error in Step 3-5 will corrupt historical data.</t>
  </si>
  <si>
    <t>📋 PHASE 1: PREPARATION (Do NOT modify existing sheets yet)</t>
  </si>
  <si>
    <t>Target_Sheet</t>
  </si>
  <si>
    <t>Details</t>
  </si>
  <si>
    <t>Owner</t>
  </si>
  <si>
    <t>Risk_Level</t>
  </si>
  <si>
    <t>Estimated_Time</t>
  </si>
  <si>
    <t>1.1</t>
  </si>
  <si>
    <t>Backup workbook</t>
  </si>
  <si>
    <t>File → Save As → DMC_ERP_BACKUP_YYYYMMDD.xlsx</t>
  </si>
  <si>
    <t>Complete</t>
  </si>
  <si>
    <t>IT/Admin</t>
  </si>
  <si>
    <t>2 min</t>
  </si>
  <si>
    <t>1.2</t>
  </si>
  <si>
    <t>Review TB_COA</t>
  </si>
  <si>
    <t>Verify all 45 accounts, check Mapping_Status column</t>
  </si>
  <si>
    <t>Finance Manager</t>
  </si>
  <si>
    <t>15 min</t>
  </si>
  <si>
    <t>1.3</t>
  </si>
  <si>
    <t>Validate critical accounts</t>
  </si>
  <si>
    <t>Confirm: 1-1200 (Rep Cash), 2-2300 (Rep Comm), 2-2110 (ETA) exist</t>
  </si>
  <si>
    <t>5 min</t>
  </si>
  <si>
    <t>1.4</t>
  </si>
  <si>
    <t>Freeze existing data</t>
  </si>
  <si>
    <t>TB_General_Journal, TB_Trial_Balance</t>
  </si>
  <si>
    <t>Add protection to prevent accidental edits during migration</t>
  </si>
  <si>
    <t>1.5</t>
  </si>
  <si>
    <t>Notify team</t>
  </si>
  <si>
    <t>Inform all users that migration is in progress. No new entries until complete.</t>
  </si>
  <si>
    <t>10 min</t>
  </si>
  <si>
    <t>🔍 PHASE 2: MAPPING VALIDATION (Verify every old code has a new home)</t>
  </si>
  <si>
    <t>MODULE: CHART OF ACCOUNTS — PRODUCTION READY</t>
  </si>
  <si>
    <t>Hierarchical COA: Class 1=Assets, 2=Liabilities, 3=Equity, 4=Revenue, 5=COGS, 6=Expenses, 7=FX. Includes Old→New Mapping for migration tracking.</t>
  </si>
  <si>
    <t>⚠️ THIS IS THE SINGLE AUTHORITATIVE COA. All journal entries, TB, and reports MUST reference this sheet only.</t>
  </si>
  <si>
    <t>Class</t>
  </si>
  <si>
    <t>IsActive</t>
  </si>
  <si>
    <t>1-1001</t>
  </si>
  <si>
    <t>Main Safe - EGP</t>
  </si>
  <si>
    <t>Asset</t>
  </si>
  <si>
    <t>Cash &amp; Bank</t>
  </si>
  <si>
    <t>TRUE</t>
  </si>
  <si>
    <t>1-1002</t>
  </si>
  <si>
    <t>Petty Cash - FCY</t>
  </si>
  <si>
    <t>Multi</t>
  </si>
  <si>
    <t>1-1101</t>
  </si>
  <si>
    <t>Bank Account - EGP</t>
  </si>
  <si>
    <t>Bank</t>
  </si>
  <si>
    <t>1-1102</t>
  </si>
  <si>
    <t>Bank Account - USD</t>
  </si>
  <si>
    <t>1-1103</t>
  </si>
  <si>
    <t>Bank Account - EUR</t>
  </si>
  <si>
    <t>1-1200</t>
  </si>
  <si>
    <t>Rep Cash Advance (Petty Cash)</t>
  </si>
  <si>
    <t>1-2100</t>
  </si>
  <si>
    <t>AR - Local Clients / Agents</t>
  </si>
  <si>
    <t>Receivables</t>
  </si>
  <si>
    <t>1-2200</t>
  </si>
  <si>
    <t>AR - Foreign Tour Operators (Control)</t>
  </si>
  <si>
    <t>1-3100</t>
  </si>
  <si>
    <t>Advances to Hotels (Prepayments)</t>
  </si>
  <si>
    <t>Prepayments</t>
  </si>
  <si>
    <t>1-3200</t>
  </si>
  <si>
    <t>Accrued Revenue - Unbilled Services</t>
  </si>
  <si>
    <t>Accruals</t>
  </si>
  <si>
    <t>1-3300</t>
  </si>
  <si>
    <t>Prepaid Excursion Costs (Allotments)</t>
  </si>
  <si>
    <t>VAT Recoverable / Input VAT</t>
  </si>
  <si>
    <t>Tax</t>
  </si>
  <si>
    <t>1-4100</t>
  </si>
  <si>
    <t>Property, Plant &amp; Equipment</t>
  </si>
  <si>
    <t>Fixed Assets</t>
  </si>
  <si>
    <t>1-4200</t>
  </si>
  <si>
    <t>Right-of-Use Assets (IFRS 16)</t>
  </si>
  <si>
    <t>2-1100</t>
  </si>
  <si>
    <t>AP - Local Hotels &amp; Suppliers</t>
  </si>
  <si>
    <t>Payables</t>
  </si>
  <si>
    <t>2-1200</t>
  </si>
  <si>
    <t>AP - Foreign Hotels &amp; Suppliers</t>
  </si>
  <si>
    <t>2-1500</t>
  </si>
  <si>
    <t>Excursion Deposits Received (Client)</t>
  </si>
  <si>
    <t>Deposits</t>
  </si>
  <si>
    <t>2-2100</t>
  </si>
  <si>
    <t>Client Deposits / Down Payments</t>
  </si>
  <si>
    <t>2-2200</t>
  </si>
  <si>
    <t>Deferred Revenue - Future Bookings</t>
  </si>
  <si>
    <t>Deferred</t>
  </si>
  <si>
    <t>2-2300</t>
  </si>
  <si>
    <t>Agent Commissions Payable</t>
  </si>
  <si>
    <t>2-3100</t>
  </si>
  <si>
    <t>Withholding Tax Payable</t>
  </si>
  <si>
    <t>2-2110</t>
  </si>
  <si>
    <t>ETA E-Invoice Clearing Account</t>
  </si>
  <si>
    <t>3-0000</t>
  </si>
  <si>
    <t>Share Capital &amp; Reserves</t>
  </si>
  <si>
    <t>Equity</t>
  </si>
  <si>
    <t>Capital</t>
  </si>
  <si>
    <t>4-1000</t>
  </si>
  <si>
    <t>Revenue - Accommodation (Hotels)</t>
  </si>
  <si>
    <t>Operating</t>
  </si>
  <si>
    <t>4-2000</t>
  </si>
  <si>
    <t>Revenue - Package Tours</t>
  </si>
  <si>
    <t>4-3000</t>
  </si>
  <si>
    <t>Revenue - Transportation</t>
  </si>
  <si>
    <t>4-4000</t>
  </si>
  <si>
    <t>Revenue - Ancillary Services</t>
  </si>
  <si>
    <t>4-5100</t>
  </si>
  <si>
    <t>Revenue - Optional Excursions</t>
  </si>
  <si>
    <t>4-5900</t>
  </si>
  <si>
    <t>Excursion Discounts (Contra)</t>
  </si>
  <si>
    <t>Contra</t>
  </si>
  <si>
    <t>5-1000</t>
  </si>
  <si>
    <t>COGS - Hotel Accommodation</t>
  </si>
  <si>
    <t>Direct Cost</t>
  </si>
  <si>
    <t>5-2000</t>
  </si>
  <si>
    <t>COGS - Package Tours</t>
  </si>
  <si>
    <t>5-3000</t>
  </si>
  <si>
    <t>COGS - Transportation</t>
  </si>
  <si>
    <t>5-5100</t>
  </si>
  <si>
    <t>COGS - Excursion Supplier Cost</t>
  </si>
  <si>
    <t>5-5200</t>
  </si>
  <si>
    <t>COGS - Excursion Variable Costs</t>
  </si>
  <si>
    <t>5-5900</t>
  </si>
  <si>
    <t>COGS - Excursion Rep Commission</t>
  </si>
  <si>
    <t>6-1000</t>
  </si>
  <si>
    <t>Salaries &amp; Wages</t>
  </si>
  <si>
    <t>G&amp;A</t>
  </si>
  <si>
    <t>6-2000</t>
  </si>
  <si>
    <t>Rent &amp; Office Expenses</t>
  </si>
  <si>
    <t>6-3100</t>
  </si>
  <si>
    <t>Sales &amp; Marketing - Rep Commission</t>
  </si>
  <si>
    <t>Selling</t>
  </si>
  <si>
    <t>6-3200</t>
  </si>
  <si>
    <t>Sales &amp; Marketing - Gratuities &amp; Gifts</t>
  </si>
  <si>
    <t>6-5000</t>
  </si>
  <si>
    <t>Travel &amp; Entertainment</t>
  </si>
  <si>
    <t>6-7000</t>
  </si>
  <si>
    <t>Depreciation</t>
  </si>
  <si>
    <t>Bank Charges &amp; Realized FX Loss</t>
  </si>
  <si>
    <t>Finance</t>
  </si>
  <si>
    <t>7-1000</t>
  </si>
  <si>
    <t>Other Income</t>
  </si>
  <si>
    <t>7-2000</t>
  </si>
  <si>
    <t>Unrealized FX Gain/Loss</t>
  </si>
  <si>
    <t>FX</t>
  </si>
  <si>
    <t>TOTAL ACCOUNTS</t>
  </si>
  <si>
    <t>Production Ready</t>
  </si>
  <si>
    <t>MODULE: GENERAL JOURNAL</t>
  </si>
  <si>
    <t>Double-entry accounting journal — the single source feeding TB_Trial_Balance via SUMIFS.</t>
  </si>
  <si>
    <t>FX_Amount</t>
  </si>
  <si>
    <t>FX_Rate</t>
  </si>
  <si>
    <t>Reference_ID</t>
  </si>
  <si>
    <t>FX_Variance_Flag</t>
  </si>
  <si>
    <t>Client invoice - Alpine Sun Tours Group (HRG-2026-0815)</t>
  </si>
  <si>
    <t>Revenue net of VAT - Alpine Sun Tours Group</t>
  </si>
  <si>
    <t>Output VAT 14% - Alpine Sun Tours Group</t>
  </si>
  <si>
    <t>Client invoice - Nordic Wave Charter (HRG-2026-0816)</t>
  </si>
  <si>
    <t>Revenue net of VAT - Nordic Wave Charter</t>
  </si>
  <si>
    <t>Output VAT 14% - Nordic Wave Charter</t>
  </si>
  <si>
    <t>JV-0003</t>
  </si>
  <si>
    <t>Client invoice - BritSun Holidays (HRG-2026-0817)</t>
  </si>
  <si>
    <t>Revenue net of VAT - BritSun Holidays</t>
  </si>
  <si>
    <t>Output VAT 14% - BritSun Holidays</t>
  </si>
  <si>
    <t>JV-0004</t>
  </si>
  <si>
    <t>Client invoice - Meridian Voyages (HRG-2026-0818)</t>
  </si>
  <si>
    <t>Revenue net of VAT - Meridian Voyages</t>
  </si>
  <si>
    <t>Output VAT 14% - Meridian Voyages</t>
  </si>
  <si>
    <t>JV-0005</t>
  </si>
  <si>
    <t>Client invoice - Red Sea Direct Bookings (HRG-2026-0819)</t>
  </si>
  <si>
    <t>Revenue net of VAT - Red Sea Direct Bookings</t>
  </si>
  <si>
    <t>Output VAT 14% - Red Sea Direct Bookings</t>
  </si>
  <si>
    <t>JV-0006</t>
  </si>
  <si>
    <t>Client invoice - EuroSun Tours (MBR-2026-0001)</t>
  </si>
  <si>
    <t>Revenue net of VAT - EuroSun Tours</t>
  </si>
  <si>
    <t>Output VAT 14% - EuroSun Tours</t>
  </si>
  <si>
    <t>Client invoice - Nile Breeze (MBR-2026-0002)</t>
  </si>
  <si>
    <t>Revenue net of VAT - Nile Breeze</t>
  </si>
  <si>
    <t>Output VAT 14% - Nile Breeze</t>
  </si>
  <si>
    <t>JV-0008</t>
  </si>
  <si>
    <t>Client invoice - London Escape (MBR-2026-0003)</t>
  </si>
  <si>
    <t>Revenue net of VAT - London Escape</t>
  </si>
  <si>
    <t>Output VAT 14% - London Escape</t>
  </si>
  <si>
    <t>Client invoice - Gulf Adventures (MBR-2026-0004)</t>
  </si>
  <si>
    <t>Revenue net of VAT - Gulf Adventures</t>
  </si>
  <si>
    <t>Output VAT 14% - Gulf Adventures</t>
  </si>
  <si>
    <t>Client invoice - Red Sea Direct (MBR-2026-0005)</t>
  </si>
  <si>
    <t>Revenue net of VAT - Red Sea Direct</t>
  </si>
  <si>
    <t>Output VAT 14% - Red Sea Direct</t>
  </si>
  <si>
    <t>JV-0011</t>
  </si>
  <si>
    <t>Hotel cost accrual - Steigenberger Aldau Beach (ACR-0001)</t>
  </si>
  <si>
    <t>Input VAT 14% on hotel cost - Steigenberger Aldau Beach</t>
  </si>
  <si>
    <t>Hotel liability - Steigenberger Aldau Beach</t>
  </si>
  <si>
    <t>JV-0012</t>
  </si>
  <si>
    <t>Hotel cost accrual - Jaz Aquamarine Resort (ACR-0002)</t>
  </si>
  <si>
    <t>Input VAT 14% on hotel cost - Jaz Aquamarine Resort</t>
  </si>
  <si>
    <t>Hotel liability - Jaz Aquamarine Resort</t>
  </si>
  <si>
    <t>JV-0013</t>
  </si>
  <si>
    <t>Hotel cost accrual - Sunrise Grand Select (ACR-0003)</t>
  </si>
  <si>
    <t>Input VAT 14% on hotel cost - Sunrise Grand Select</t>
  </si>
  <si>
    <t>Hotel liability - Sunrise Grand Select</t>
  </si>
  <si>
    <t>JV-0014</t>
  </si>
  <si>
    <t>Hotel cost accrual - Pickalbatros Aqua Blu (ACR-0004)</t>
  </si>
  <si>
    <t>Input VAT 14% on hotel cost - Pickalbatros Aqua Blu</t>
  </si>
  <si>
    <t>Hotel liability - Pickalbatros Aqua Blu</t>
  </si>
  <si>
    <t>JV-0015</t>
  </si>
  <si>
    <t>Hotel cost accrual - Sunny Days El Palacio (ACR-0005)</t>
  </si>
  <si>
    <t>Input VAT 14% on hotel cost - Sunny Days El Palacio</t>
  </si>
  <si>
    <t>Hotel liability - Sunny Days El Palacio</t>
  </si>
  <si>
    <t>JV-0016</t>
  </si>
  <si>
    <t>Hotel cost accrual - Sun &amp; Sea Beach Resort (ACC-0001)</t>
  </si>
  <si>
    <t>Input VAT 14% on hotel cost - Sun &amp; Sea Beach Resort</t>
  </si>
  <si>
    <t>Hotel liability - Sun &amp; Sea Beach Resort</t>
  </si>
  <si>
    <t>JV-0017</t>
  </si>
  <si>
    <t>Hotel cost accrual - Coral Hills Resort (ACC-0002)</t>
  </si>
  <si>
    <t>Input VAT 14% on hotel cost - Coral Hills Resort</t>
  </si>
  <si>
    <t>Hotel liability - Coral Hills Resort</t>
  </si>
  <si>
    <t>JV-0018</t>
  </si>
  <si>
    <t>Hotel cost accrual - Blue Lagoon Palace (ACC-0003)</t>
  </si>
  <si>
    <t>Input VAT 14% on hotel cost - Blue Lagoon Palace</t>
  </si>
  <si>
    <t>Hotel liability - Blue Lagoon Palace</t>
  </si>
  <si>
    <t>JV-0019</t>
  </si>
  <si>
    <t>Hotel cost accrual - Desert Rose Plaza (ACC-0004)</t>
  </si>
  <si>
    <t>Input VAT 14% on hotel cost - Desert Rose Plaza</t>
  </si>
  <si>
    <t>Hotel liability - Desert Rose Plaza</t>
  </si>
  <si>
    <t>JV-0020</t>
  </si>
  <si>
    <t>Hotel cost accrual - Seagull Beach Resort (ACC-0005)</t>
  </si>
  <si>
    <t>Input VAT 14% on hotel cost - Seagull Beach Resort</t>
  </si>
  <si>
    <t>Hotel liability - Seagull Beach Resort</t>
  </si>
  <si>
    <t>JV-0021</t>
  </si>
  <si>
    <t>PAY-0815</t>
  </si>
  <si>
    <t>Client collection - Alpine Sun Tours Group (HRG-2026-0815)</t>
  </si>
  <si>
    <t>AR settlement - Alpine Sun Tours Group</t>
  </si>
  <si>
    <t>Realized Gain</t>
  </si>
  <si>
    <t>FX gain EUR (53.5-53.35)*126000</t>
  </si>
  <si>
    <t>JV-0022</t>
  </si>
  <si>
    <t>PAY-0816</t>
  </si>
  <si>
    <t>Client collection - Nordic Wave Charter (HRG-2026-0816)</t>
  </si>
  <si>
    <t>AR settlement - Nordic Wave Charter</t>
  </si>
  <si>
    <t>FX gain USD (49.25-49.12)*25830</t>
  </si>
  <si>
    <t>JV-0023</t>
  </si>
  <si>
    <t>PAY-0817</t>
  </si>
  <si>
    <t>Client collection - BritSun Holidays (HRG-2026-0817)</t>
  </si>
  <si>
    <t>AR settlement - BritSun Holidays</t>
  </si>
  <si>
    <t>FX gain GBP (62.45-62.3)*16380</t>
  </si>
  <si>
    <t>JV-0024</t>
  </si>
  <si>
    <t>PAY-0818</t>
  </si>
  <si>
    <t>Client collection - Meridian Voyages (HRG-2026-0818)</t>
  </si>
  <si>
    <t>AR settlement - Meridian Voyages</t>
  </si>
  <si>
    <t>FX gain EUR (53.55-53.4)*21600</t>
  </si>
  <si>
    <t>JV-0025</t>
  </si>
  <si>
    <t>PAY-0819</t>
  </si>
  <si>
    <t>Client collection - Red Sea Direct Bookings (HRG-2026-0819)</t>
  </si>
  <si>
    <t>AR settlement - Red Sea Direct Bookings</t>
  </si>
  <si>
    <t>FX gain USD (49.2-49.12)*3180</t>
  </si>
  <si>
    <t>JV-0026</t>
  </si>
  <si>
    <t>PAY-0001</t>
  </si>
  <si>
    <t>Client collection - EuroSun Tours (MBR-2026-0001)</t>
  </si>
  <si>
    <t>AR settlement - EuroSun Tours</t>
  </si>
  <si>
    <t>FX gain EUR (54.4-54.2)*133000</t>
  </si>
  <si>
    <t>JV-0027</t>
  </si>
  <si>
    <t>PAYH-0001</t>
  </si>
  <si>
    <t>Hotel payment - Steigenberger Aldau Beach (ACR-0001)</t>
  </si>
  <si>
    <t>Realized Loss</t>
  </si>
  <si>
    <t>FX loss on payment EUR (53.45-53.35)*100800</t>
  </si>
  <si>
    <t>Bank transfer - Steigenberger Aldau Beach</t>
  </si>
  <si>
    <t>WHT 3% on Steigenberger Aldau Beach cost=5377680.00</t>
  </si>
  <si>
    <t>JV-0028</t>
  </si>
  <si>
    <t>PAYH-0002</t>
  </si>
  <si>
    <t>Hotel payment - Jaz Aquamarine Resort (ACR-0002)</t>
  </si>
  <si>
    <t>FX loss on payment USD (49.15-49.12)*20475</t>
  </si>
  <si>
    <t>Bank transfer - Jaz Aquamarine Resort</t>
  </si>
  <si>
    <t>WHT 3% on Jaz Aquamarine Resort cost=1005732.00</t>
  </si>
  <si>
    <t>JV-0029</t>
  </si>
  <si>
    <t>PAYH-0003</t>
  </si>
  <si>
    <t>Hotel payment - Sunrise Grand Select (ACR-0003)</t>
  </si>
  <si>
    <t>FX loss on payment GBP (62.35-62.3)*13020</t>
  </si>
  <si>
    <t>Bank transfer - Sunrise Grand Select</t>
  </si>
  <si>
    <t>WHT 3% on Sunrise Grand Select cost=811146.00</t>
  </si>
  <si>
    <t>JV-0030</t>
  </si>
  <si>
    <t>PAYH-0004</t>
  </si>
  <si>
    <t>Hotel payment - Pickalbatros Aqua Blu (ACR-0004)</t>
  </si>
  <si>
    <t>FX loss on payment EUR (53.5-53.4)*17280</t>
  </si>
  <si>
    <t>Bank transfer - Pickalbatros Aqua Blu</t>
  </si>
  <si>
    <t>WHT 3% on Pickalbatros Aqua Blu cost=922752.00</t>
  </si>
  <si>
    <t>JV-0031</t>
  </si>
  <si>
    <t>PAYH-0005</t>
  </si>
  <si>
    <t>Hotel payment - Sunny Days El Palacio (ACR-0005)</t>
  </si>
  <si>
    <t>FX loss on payment USD (49.14-49.12)*2520</t>
  </si>
  <si>
    <t>Bank transfer - Sunny Days El Palacio</t>
  </si>
  <si>
    <t>WHT 3% on Sunny Days El Palacio cost=123782.40</t>
  </si>
  <si>
    <t>JV-0032</t>
  </si>
  <si>
    <t>PAYH-0006</t>
  </si>
  <si>
    <t>Hotel payment - Sun &amp; Sea Beach Resort (ACC-0001)</t>
  </si>
  <si>
    <t>FX loss on payment EUR (54.4-54.2)*106400</t>
  </si>
  <si>
    <t>Bank transfer - Sun &amp; Sea Beach Resort</t>
  </si>
  <si>
    <t>WHT 3% on Sun &amp; Sea Beach Resort cost=5766880.00</t>
  </si>
  <si>
    <t>JV-0033</t>
  </si>
  <si>
    <t>PAYH-0007</t>
  </si>
  <si>
    <t>Hotel payment - Coral Hills Resort (ACC-0002)</t>
  </si>
  <si>
    <t>FX loss on payment USD (49.5-49.3)*19320</t>
  </si>
  <si>
    <t>Bank transfer - Coral Hills Resort</t>
  </si>
  <si>
    <t>WHT 3% on Coral Hills Resort cost=952476.00</t>
  </si>
  <si>
    <t>JV-0034</t>
  </si>
  <si>
    <t>PAYH-0008</t>
  </si>
  <si>
    <t>Hotel payment - Blue Lagoon Palace (ACC-0003)</t>
  </si>
  <si>
    <t>FX loss on payment GBP (63.35-63.25)*17408</t>
  </si>
  <si>
    <t>Bank transfer - Blue Lagoon Palace</t>
  </si>
  <si>
    <t>WHT 3% on Blue Lagoon Palace cost=1101056.00</t>
  </si>
  <si>
    <t>JV-0035</t>
  </si>
  <si>
    <t>PAYH-0009</t>
  </si>
  <si>
    <t>Hotel payment - Desert Rose Plaza (ACC-0004)</t>
  </si>
  <si>
    <t>FX loss on payment USD (49.5-49.3)*33600</t>
  </si>
  <si>
    <t>Bank transfer - Desert Rose Plaza</t>
  </si>
  <si>
    <t>WHT 3% on Desert Rose Plaza cost=1656480.00</t>
  </si>
  <si>
    <t>JV-0036</t>
  </si>
  <si>
    <t>PAYH-0010</t>
  </si>
  <si>
    <t>Hotel payment - Seagull Beach Resort (ACC-0005)</t>
  </si>
  <si>
    <t>FX loss on payment EUR (54.5-54.4)*30940</t>
  </si>
  <si>
    <t>Bank transfer - Seagull Beach Resort</t>
  </si>
  <si>
    <t>WHT 3% on Seagull Beach Resort cost=1683136.00</t>
  </si>
  <si>
    <t>JV-0037</t>
  </si>
  <si>
    <t>WHT-PAY-Q3-2026</t>
  </si>
  <si>
    <t>Bank transfer for WHT Q3-2026</t>
  </si>
  <si>
    <t>JV-0038</t>
  </si>
  <si>
    <t>TCK-20260808</t>
  </si>
  <si>
    <t>Excursion cash sales - 2026-08-08</t>
  </si>
  <si>
    <t>Excursion revenue - 2026-08-08</t>
  </si>
  <si>
    <t>JV-0039</t>
  </si>
  <si>
    <t>Rep commission - 2026-08-08</t>
  </si>
  <si>
    <t>Commission liability - 2026-08-08</t>
  </si>
  <si>
    <t>JV-0040</t>
  </si>
  <si>
    <t>TCK-20260816</t>
  </si>
  <si>
    <t>Excursion cash sales - 2026-08-16</t>
  </si>
  <si>
    <t>Excursion revenue - 2026-08-16</t>
  </si>
  <si>
    <t>JV-0041</t>
  </si>
  <si>
    <t>Rep commission - 2026-08-16</t>
  </si>
  <si>
    <t>Commission liability - 2026-08-16</t>
  </si>
  <si>
    <t>JV-0042</t>
  </si>
  <si>
    <t>TCK-20260817</t>
  </si>
  <si>
    <t>Excursion cash sales - 2026-08-17</t>
  </si>
  <si>
    <t>Excursion revenue - 2026-08-17</t>
  </si>
  <si>
    <t>JV-0043</t>
  </si>
  <si>
    <t>Rep commission - 2026-08-17</t>
  </si>
  <si>
    <t>Commission liability - 2026-08-17</t>
  </si>
  <si>
    <t>JV-0044</t>
  </si>
  <si>
    <t>Bank reconciliation adjustment - unexplained difference</t>
  </si>
  <si>
    <t>Bank rec adjustment - FCY Operations</t>
  </si>
  <si>
    <t>MODULE: TRIAL BALANCE</t>
  </si>
  <si>
    <t>Live account balances aggregated from TB_General_Journal. Debit = Credit, always.</t>
  </si>
  <si>
    <t>Debit_Movement_EGP</t>
  </si>
  <si>
    <t>Credit_Movement_EGP</t>
  </si>
  <si>
    <t>Opening_Balance_EGP</t>
  </si>
  <si>
    <t>Closing_Balance_EGP</t>
  </si>
  <si>
    <t>Balance_Type</t>
  </si>
  <si>
    <t>TOTALS</t>
  </si>
  <si>
    <t>MODULE: WHT QUARTERLY</t>
  </si>
  <si>
    <t>Withholding tax tracking per supplier invoice for quarterly EAS filing.</t>
  </si>
  <si>
    <t>WHT_ID</t>
  </si>
  <si>
    <t>Hotel_Cost_EGP</t>
  </si>
  <si>
    <t>WHT_Rate</t>
  </si>
  <si>
    <t>WHT_Amount_EGP</t>
  </si>
  <si>
    <t>Quarter</t>
  </si>
  <si>
    <t>Year</t>
  </si>
  <si>
    <t>Payment_Ref</t>
  </si>
  <si>
    <t>WHT-0001</t>
  </si>
  <si>
    <t>Q3</t>
  </si>
  <si>
    <t>2026-10-15</t>
  </si>
  <si>
    <t>Accrued</t>
  </si>
  <si>
    <t>WHT-0002</t>
  </si>
  <si>
    <t>WHT-0003</t>
  </si>
  <si>
    <t>WHT-0004</t>
  </si>
  <si>
    <t>WHT-0005</t>
  </si>
  <si>
    <t>WHT-0007</t>
  </si>
  <si>
    <t>WHT-0008</t>
  </si>
  <si>
    <t>WHT-0009</t>
  </si>
  <si>
    <t>WHT-0010</t>
  </si>
  <si>
    <t>WHT-0011</t>
  </si>
  <si>
    <t>MODULE: ETA E-INVOICE INTEGRATION</t>
  </si>
  <si>
    <t>Egyptian Tax Authority e-invoice portal reconciliation records.</t>
  </si>
  <si>
    <t>ETA_UUID</t>
  </si>
  <si>
    <t>Internal_Ref</t>
  </si>
  <si>
    <t>Client_VAT_Reg</t>
  </si>
  <si>
    <t>Total_With_VAT_EGP</t>
  </si>
  <si>
    <t>Submission_Status</t>
  </si>
  <si>
    <t>ETA_Response_Code</t>
  </si>
  <si>
    <t>ETA_Response_Msg</t>
  </si>
  <si>
    <t>Submitted_By</t>
  </si>
  <si>
    <t>Submitted_Date</t>
  </si>
  <si>
    <t>Reconciliation_Status</t>
  </si>
  <si>
    <t>ETA-2026-0001</t>
  </si>
  <si>
    <t>Tax Invoice</t>
  </si>
  <si>
    <t>Submitted</t>
  </si>
  <si>
    <t>200</t>
  </si>
  <si>
    <t>Accepted</t>
  </si>
  <si>
    <t>Matched</t>
  </si>
  <si>
    <t>Alpine Sun Tours Group - HRG-2026-0815</t>
  </si>
  <si>
    <t>ETA-2026-0002</t>
  </si>
  <si>
    <t>Nordic Wave Charter</t>
  </si>
  <si>
    <t>Nordic Wave Charter - HRG-2026-0816</t>
  </si>
  <si>
    <t>ETA-2026-0003</t>
  </si>
  <si>
    <t>BritSun Holidays - HRG-2026-0817</t>
  </si>
  <si>
    <t>ETA-2026-0004</t>
  </si>
  <si>
    <t>Meridian Voyages - HRG-2026-0818</t>
  </si>
  <si>
    <t>ETA-2026-0005</t>
  </si>
  <si>
    <t>Red Sea Direct Bookings - HRG-2026-0819</t>
  </si>
  <si>
    <t>ETA-2026-0007</t>
  </si>
  <si>
    <t>2026-09-21</t>
  </si>
  <si>
    <t>EuroSun Tours - MBR-2026-0001</t>
  </si>
  <si>
    <t>ETA-2026-0008</t>
  </si>
  <si>
    <t>Nile Breeze - MBR-2026-0002</t>
  </si>
  <si>
    <t>ETA-2026-0009</t>
  </si>
  <si>
    <t>2026-09-23</t>
  </si>
  <si>
    <t>London Escape - MBR-2026-0003</t>
  </si>
  <si>
    <t>ETA-2026-0010</t>
  </si>
  <si>
    <t>Gulf Adventures - MBR-2026-0004</t>
  </si>
  <si>
    <t>ETA-2026-0011</t>
  </si>
  <si>
    <t>Red Sea Direct</t>
  </si>
  <si>
    <t>2026-09-24</t>
  </si>
  <si>
    <t>Red Sea Direct - MBR-2026-0005</t>
  </si>
  <si>
    <t>MODULE: INCOME STATEMENT (P&amp;L)</t>
  </si>
  <si>
    <t>Live P&amp;L pulling from TB_Trial_Balance by account class. Recalculates automatically as journal entries change.</t>
  </si>
  <si>
    <t>Line</t>
  </si>
  <si>
    <t>Revenue (Class 4)</t>
  </si>
  <si>
    <t>COGS (Class 5)</t>
  </si>
  <si>
    <t>Gross Profit</t>
  </si>
  <si>
    <t>Operating Expenses (Class 6)</t>
  </si>
  <si>
    <t>Operating Profit</t>
  </si>
  <si>
    <t>FX Gain / (Loss) (Class 7)</t>
  </si>
  <si>
    <t>Net Profit</t>
  </si>
  <si>
    <t>MODULE: BALANCE SHEET</t>
  </si>
  <si>
    <t>Live Balance Sheet pulling from TB_Trial_Balance by account class, plus current-year Retained Earnings from TB_Income_Statement.</t>
  </si>
  <si>
    <t>Total Assets (Class 1)</t>
  </si>
  <si>
    <t>Total Liabilities (Class 2)</t>
  </si>
  <si>
    <t>Equity - Share Capital &amp; Reserves (Class 3)</t>
  </si>
  <si>
    <t>Retained Earnings - Current Year (from P&amp;L)</t>
  </si>
  <si>
    <t>Total Liabilities + Equity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</si>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</sst>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"/>
  </numFmts>
  <fonts count="26" x14ac:knownFonts="1">
    <font>
      <sz val="11"/>
      <color theme="1"/>
      <name val="Calibri"/>
      <family val="2"/>
      <charset val="1"/>
    </font>
    <font>
      <b/>
      <sz val="16"/>
      <color rgb="FFFFFFFF"/>
      <name val="Segoe UI"/>
      <charset val="1"/>
    </font>
    <font>
      <sz val="10.5"/>
      <color rgb="FFE2E8F0"/>
      <name val="Segoe UI"/>
      <charset val="1"/>
    </font>
    <font>
      <b/>
      <sz val="13"/>
      <color rgb="FFFFFFFF"/>
      <name val="Segoe UI"/>
      <charset val="1"/>
    </font>
    <font>
      <b/>
      <sz val="11"/>
      <color rgb="FF1F4E79"/>
      <name val="Calibri"/>
      <charset val="1"/>
    </font>
    <font>
      <b/>
      <sz val="12"/>
      <color rgb="FF1F4E79"/>
      <name val="Calibri"/>
      <charset val="1"/>
    </font>
    <font>
      <b/>
      <u/>
      <sz val="11"/>
      <color rgb="FF0563C1"/>
      <name val="Calibri"/>
      <charset val="1"/>
    </font>
    <font>
      <sz val="10"/>
      <color rgb="FF000000"/>
      <name val="Calibri"/>
      <charset val="1"/>
    </font>
    <font>
      <b/>
      <sz val="10"/>
      <color rgb="FF375623"/>
      <name val="Calibri"/>
      <charset val="1"/>
    </font>
    <font>
      <b/>
      <sz val="10"/>
      <color rgb="FFFFFFFF"/>
      <name val="Segoe UI"/>
      <charset val="1"/>
    </font>
    <font>
      <b/>
      <sz val="10.5"/>
      <name val="Calibri"/>
      <charset val="1"/>
    </font>
    <font>
      <sz val="10.5"/>
      <name val="Calibri"/>
      <charset val="1"/>
    </font>
    <font>
      <b/>
      <sz val="11"/>
      <color rgb="FFFFFFFF"/>
      <name val="Segoe UI"/>
      <charset val="1"/>
    </font>
    <font>
      <b/>
      <sz val="14"/>
      <color rgb="FFC55A11"/>
      <name val="Cambria"/>
      <charset val="1"/>
    </font>
    <font>
      <b/>
      <sz val="10"/>
      <color rgb="FFFFFFFF"/>
      <name val="Cambria"/>
      <charset val="1"/>
    </font>
    <font>
      <b/>
      <sz val="10"/>
      <color rgb="FFC00000"/>
      <name val="Calibri"/>
      <charset val="1"/>
    </font>
    <font>
      <b/>
      <sz val="14"/>
      <color rgb="FFFFFFFF"/>
      <name val="Segoe UI"/>
      <charset val="1"/>
    </font>
    <font>
      <sz val="11"/>
      <name val="Cambria"/>
      <charset val="1"/>
    </font>
    <font>
      <b/>
      <sz val="11"/>
      <color rgb="FFFFFFFF"/>
      <name val="Cambria"/>
      <charset val="1"/>
    </font>
    <font>
      <sz val="10"/>
      <name val="Arial"/>
      <family val="2"/>
    </font>
    <font>
      <i/>
      <sz val="11"/>
      <color rgb="FF666666"/>
      <name val="Calibri"/>
      <charset val="1"/>
    </font>
    <font>
      <b/>
      <sz val="11"/>
      <color rgb="FFC00000"/>
      <name val="Calibri"/>
      <charset val="1"/>
    </font>
    <font>
      <b/>
      <sz val="13"/>
      <color rgb="FFFFFFFF"/>
      <name val="Calibri"/>
      <charset val="1"/>
    </font>
    <font>
      <b/>
      <sz val="11"/>
      <color rgb="FF008000"/>
      <name val="Cambria"/>
      <charset val="1"/>
    </font>
    <font>
      <sz val="10"/>
      <name val="Calibri"/>
      <charset val="1"/>
    </font>
    <font>
      <b/>
      <sz val="10"/>
      <name val="Calibri"/>
      <charset val="1"/>
    </font>
  </fonts>
  <fills count="14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E293B"/>
        <bgColor rgb="FF0F172A"/>
      </patternFill>
    </fill>
    <fill>
      <patternFill patternType="solid">
        <fgColor rgb="FFD6E4F0"/>
        <bgColor rgb="FFD9E1F2"/>
      </patternFill>
    </fill>
    <fill>
      <patternFill patternType="solid">
        <fgColor rgb="FFF2F2F2"/>
        <bgColor rgb="FFE2E8F0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0563C1"/>
      </patternFill>
    </fill>
    <fill>
      <patternFill patternType="solid">
        <fgColor rgb="FFFCE4D6"/>
        <bgColor rgb="FFFFF2CC"/>
      </patternFill>
    </fill>
    <fill>
      <patternFill patternType="solid">
        <fgColor rgb="FFE2F0D9"/>
        <bgColor rgb="FFE2EFDA"/>
      </patternFill>
    </fill>
    <fill>
      <patternFill patternType="solid">
        <fgColor rgb="FFD9E1F2"/>
        <bgColor rgb="FFD6E4F0"/>
      </patternFill>
    </fill>
    <fill>
      <patternFill patternType="solid">
        <fgColor rgb="FFF8CBAD"/>
        <bgColor rgb="FFFCE4D6"/>
      </patternFill>
    </fill>
    <fill>
      <patternFill patternType="solid">
        <fgColor rgb="FFE7E6E6"/>
        <bgColor rgb="FFE2E8F0"/>
      </patternFill>
    </fill>
    <fill>
      <patternFill patternType="solid">
        <fgColor rgb="FFC6E0B4"/>
        <bgColor rgb="FFCCCCCC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1F4E79"/>
      </right>
      <top/>
      <bottom style="medium">
        <color rgb="FF1F4E79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0" xfId="0" applyFont="1" applyFill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2" fillId="3" borderId="0" xfId="0" applyFont="1" applyFill="1" applyAlignment="1" applyProtection="1">
      <alignment horizontal="center" vertical="center" wrapText="1"/>
      <protection locked="0"/>
    </xf>
    <xf numFmtId="0" fontId="0" fillId="4" borderId="1" xfId="0" applyFill="1" applyBorder="1" applyProtection="1"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6" fillId="5" borderId="1" xfId="0" applyFont="1" applyFill="1" applyBorder="1" applyAlignment="1" applyProtection="1">
      <alignment horizontal="left" vertical="center" wrapText="1"/>
      <protection locked="0"/>
    </xf>
    <xf numFmtId="0" fontId="7" fillId="5" borderId="1" xfId="0" applyFont="1" applyFill="1" applyBorder="1" applyAlignment="1" applyProtection="1">
      <alignment horizontal="left" vertical="center" wrapText="1"/>
      <protection locked="0"/>
    </xf>
    <xf numFmtId="0" fontId="8" fillId="5" borderId="1" xfId="0" applyFont="1" applyFill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5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12" fillId="2" borderId="2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13" fillId="0" borderId="0" xfId="0" applyFont="1" applyProtection="1">
      <protection locked="0"/>
    </xf>
    <xf numFmtId="0" fontId="12" fillId="2" borderId="3" xfId="0" applyFont="1" applyFill="1" applyBorder="1" applyProtection="1">
      <protection locked="0"/>
    </xf>
    <xf numFmtId="0" fontId="0" fillId="0" borderId="3" xfId="0" applyBorder="1" applyProtection="1">
      <protection locked="0"/>
    </xf>
    <xf numFmtId="0" fontId="14" fillId="7" borderId="3" xfId="0" applyFont="1" applyFill="1" applyBorder="1" applyProtection="1">
      <protection locked="0"/>
    </xf>
    <xf numFmtId="0" fontId="16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7" fillId="0" borderId="2" xfId="0" applyFont="1" applyBorder="1" applyAlignment="1" applyProtection="1">
      <alignment horizontal="center" vertical="center" wrapText="1"/>
      <protection locked="0"/>
    </xf>
    <xf numFmtId="0" fontId="2" fillId="3" borderId="0" xfId="0" applyFont="1" applyFill="1" applyAlignment="1" applyProtection="1">
      <alignment vertical="center"/>
      <protection locked="0"/>
    </xf>
    <xf numFmtId="0" fontId="12" fillId="2" borderId="3" xfId="0" applyFont="1" applyFill="1" applyBorder="1" applyAlignment="1" applyProtection="1">
      <alignment horizontal="center" vertical="center" wrapText="1"/>
      <protection locked="0"/>
    </xf>
    <xf numFmtId="0" fontId="18" fillId="0" borderId="3" xfId="0" applyFont="1" applyBorder="1" applyAlignment="1" applyProtection="1">
      <alignment horizontal="center" vertical="center" wrapText="1"/>
      <protection locked="0"/>
    </xf>
    <xf numFmtId="0" fontId="16" fillId="2" borderId="1" xfId="0" applyFont="1" applyFill="1" applyBorder="1" applyAlignment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 wrapText="1"/>
      <protection locked="0"/>
    </xf>
    <xf numFmtId="0" fontId="12" fillId="2" borderId="0" xfId="0" applyFont="1" applyFill="1" applyAlignment="1" applyProtection="1">
      <alignment horizontal="center" vertical="center" wrapText="1"/>
      <protection locked="0"/>
    </xf>
    <xf numFmtId="0" fontId="7" fillId="5" borderId="1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Protection="1">
      <protection hidden="1"/>
    </xf>
    <xf numFmtId="164" fontId="0" fillId="0" borderId="0" xfId="0" applyNumberFormat="1" applyAlignment="1" applyProtection="1">
      <alignment horizontal="right" vertical="center"/>
      <protection locked="0"/>
    </xf>
    <xf numFmtId="0" fontId="16" fillId="2" borderId="4" xfId="0" applyFont="1" applyFill="1" applyBorder="1" applyAlignment="1" applyProtection="1">
      <alignment vertical="center"/>
      <protection locked="0"/>
    </xf>
    <xf numFmtId="0" fontId="17" fillId="0" borderId="0" xfId="0" applyFont="1" applyProtection="1">
      <protection locked="0"/>
    </xf>
    <xf numFmtId="0" fontId="7" fillId="5" borderId="1" xfId="0" applyFont="1" applyFill="1" applyBorder="1" applyAlignment="1" applyProtection="1">
      <alignment horizontal="center" vertical="center" wrapText="1"/>
      <protection hidden="1"/>
    </xf>
    <xf numFmtId="164" fontId="7" fillId="5" borderId="1" xfId="0" applyNumberFormat="1" applyFont="1" applyFill="1" applyBorder="1" applyAlignment="1" applyProtection="1">
      <alignment horizontal="right" vertical="center"/>
      <protection hidden="1"/>
    </xf>
    <xf numFmtId="0" fontId="7" fillId="5" borderId="1" xfId="0" applyFont="1" applyFill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64" fontId="7" fillId="0" borderId="1" xfId="0" applyNumberFormat="1" applyFont="1" applyBorder="1" applyAlignment="1" applyProtection="1">
      <alignment horizontal="right" vertical="center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15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4" fillId="6" borderId="0" xfId="0" applyFont="1" applyFill="1" applyAlignment="1" applyProtection="1">
      <alignment horizontal="center" vertical="center" wrapText="1"/>
      <protection locked="0"/>
    </xf>
    <xf numFmtId="0" fontId="4" fillId="6" borderId="1" xfId="0" applyFont="1" applyFill="1" applyBorder="1" applyAlignment="1" applyProtection="1">
      <alignment horizontal="center" vertical="center" wrapText="1"/>
      <protection locked="0"/>
    </xf>
    <xf numFmtId="164" fontId="4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vertical="center"/>
      <protection locked="0"/>
    </xf>
    <xf numFmtId="0" fontId="20" fillId="0" borderId="0" xfId="0" applyFont="1" applyAlignment="1" applyProtection="1">
      <alignment horizontal="left" vertical="center" wrapText="1"/>
      <protection locked="0"/>
    </xf>
    <xf numFmtId="0" fontId="21" fillId="0" borderId="0" xfId="0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0" fontId="23" fillId="5" borderId="1" xfId="0" applyFont="1" applyFill="1" applyBorder="1" applyAlignment="1" applyProtection="1">
      <alignment horizontal="left" vertical="center" wrapText="1"/>
      <protection locked="0"/>
    </xf>
    <xf numFmtId="0" fontId="23" fillId="0" borderId="1" xfId="0" applyFont="1" applyBorder="1" applyAlignment="1" applyProtection="1">
      <alignment horizontal="left" vertical="center" wrapText="1"/>
      <protection locked="0"/>
    </xf>
    <xf numFmtId="0" fontId="22" fillId="0" borderId="0" xfId="0" applyFont="1" applyProtection="1">
      <protection locked="0"/>
    </xf>
    <xf numFmtId="0" fontId="7" fillId="9" borderId="1" xfId="0" applyFont="1" applyFill="1" applyBorder="1" applyAlignment="1" applyProtection="1">
      <alignment horizontal="left" vertical="center" wrapText="1"/>
      <protection locked="0"/>
    </xf>
    <xf numFmtId="0" fontId="7" fillId="8" borderId="1" xfId="0" applyFont="1" applyFill="1" applyBorder="1" applyAlignment="1" applyProtection="1">
      <alignment horizontal="left" vertical="center" wrapText="1"/>
      <protection locked="0"/>
    </xf>
    <xf numFmtId="0" fontId="7" fillId="6" borderId="1" xfId="0" applyFont="1" applyFill="1" applyBorder="1" applyAlignment="1" applyProtection="1">
      <alignment horizontal="left" vertical="center" wrapText="1"/>
      <protection locked="0"/>
    </xf>
    <xf numFmtId="0" fontId="7" fillId="10" borderId="1" xfId="0" applyFont="1" applyFill="1" applyBorder="1" applyAlignment="1" applyProtection="1">
      <alignment horizontal="left" vertical="center" wrapText="1"/>
      <protection locked="0"/>
    </xf>
    <xf numFmtId="0" fontId="7" fillId="11" borderId="1" xfId="0" applyFont="1" applyFill="1" applyBorder="1" applyAlignment="1" applyProtection="1">
      <alignment horizontal="left" vertical="center" wrapText="1"/>
      <protection locked="0"/>
    </xf>
    <xf numFmtId="0" fontId="7" fillId="12" borderId="1" xfId="0" applyFont="1" applyFill="1" applyBorder="1" applyAlignment="1" applyProtection="1">
      <alignment horizontal="left" vertical="center" wrapText="1"/>
      <protection locked="0"/>
    </xf>
    <xf numFmtId="0" fontId="7" fillId="13" borderId="1" xfId="0" applyFont="1" applyFill="1" applyBorder="1" applyAlignment="1" applyProtection="1">
      <alignment horizontal="left" vertical="center" wrapText="1"/>
      <protection locked="0"/>
    </xf>
    <xf numFmtId="0" fontId="4" fillId="6" borderId="1" xfId="0" applyFont="1" applyFill="1" applyBorder="1" applyAlignment="1" applyProtection="1">
      <alignment horizontal="center" vertical="center" wrapText="1"/>
      <protection locked="0"/>
    </xf>
    <xf numFmtId="0" fontId="8" fillId="6" borderId="1" xfId="0" applyFont="1" applyFill="1" applyBorder="1" applyAlignment="1" applyProtection="1">
      <alignment horizontal="center" vertical="center" wrapText="1"/>
      <protection locked="0"/>
    </xf>
    <xf numFmtId="165" fontId="0" fillId="0" borderId="0" xfId="0" applyNumberFormat="1" applyAlignment="1" applyProtection="1">
      <alignment horizontal="center" vertical="center"/>
      <protection locked="0"/>
    </xf>
    <xf numFmtId="0" fontId="24" fillId="0" borderId="0" xfId="0" applyFont="1" applyProtection="1">
      <protection locked="0"/>
    </xf>
    <xf numFmtId="0" fontId="25" fillId="0" borderId="0" xfId="0" applyFont="1" applyProtection="1">
      <protection locked="0"/>
    </xf>
    <xf numFmtId="4" fontId="24" fillId="0" borderId="0" xfId="0" applyNumberFormat="1" applyFont="1" applyAlignment="1" applyProtection="1">
      <alignment horizontal="right" vertical="center"/>
      <protection hidden="1"/>
    </xf>
    <xf numFmtId="4" fontId="25" fillId="0" borderId="0" xfId="0" applyNumberFormat="1" applyFont="1" applyAlignment="1" applyProtection="1">
      <alignment horizontal="right" vertical="center"/>
      <protection hidden="1"/>
    </xf>
    <xf numFmtId="0" fontId="25" fillId="0" borderId="0" xfId="0" applyFont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2EFDA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E2F0D9"/>
      <rgbColor rgb="FFFCE4D6"/>
      <rgbColor rgb="FFC6E0B4"/>
      <rgbColor rgb="FFE7E6E6"/>
      <rgbColor rgb="FFD6E4F0"/>
      <rgbColor rgb="FFF8CBAD"/>
      <rgbColor rgb="FF2E75B6"/>
      <rgbColor rgb="FF33CCCC"/>
      <rgbColor rgb="FF99CC00"/>
      <rgbColor rgb="FFFFCC00"/>
      <rgbColor rgb="FFFF9900"/>
      <rgbColor rgb="FFC55A11"/>
      <rgbColor rgb="FF666666"/>
      <rgbColor rgb="FF969696"/>
      <rgbColor rgb="FF003366"/>
      <rgbColor rgb="FF339966"/>
      <rgbColor rgb="FF0F172A"/>
      <rgbColor rgb="FF375623"/>
      <rgbColor rgb="FF993300"/>
      <rgbColor rgb="FF993366"/>
      <rgbColor rgb="FF1F4E79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47"/>
  <sheetViews>
    <sheetView tabSelected="1" topLeftCell="A33" zoomScaleNormal="100" workbookViewId="0">
      <selection activeCell="B49" sqref="B49"/>
    </sheetView>
  </sheetViews>
  <sheetFormatPr defaultColWidth="8.6328125" defaultRowHeight="14.5" x14ac:dyDescent="0.35"/>
  <cols>
    <col min="1" max="1" width="5" style="2" customWidth="1"/>
    <col min="2" max="2" width="28" style="2" customWidth="1"/>
    <col min="3" max="3" width="45" style="2" customWidth="1"/>
    <col min="4" max="4" width="35" style="2" customWidth="1"/>
    <col min="5" max="5" width="12" style="2" customWidth="1"/>
    <col min="6" max="6" width="8" style="2" customWidth="1"/>
    <col min="7" max="16384" width="8.6328125" style="2"/>
  </cols>
  <sheetData>
    <row r="1" spans="1:6" ht="25.5" customHeight="1" x14ac:dyDescent="0.35">
      <c r="A1" s="1" t="s">
        <v>0</v>
      </c>
      <c r="B1" s="1"/>
      <c r="C1" s="1"/>
      <c r="D1" s="1"/>
      <c r="E1" s="1"/>
      <c r="F1" s="1"/>
    </row>
    <row r="2" spans="1:6" ht="19.5" customHeight="1" x14ac:dyDescent="0.35">
      <c r="A2" s="3" t="s">
        <v>1</v>
      </c>
      <c r="B2" s="3"/>
      <c r="C2" s="3"/>
      <c r="D2" s="3"/>
      <c r="E2" s="3"/>
      <c r="F2" s="3"/>
    </row>
    <row r="3" spans="1:6" ht="15" customHeight="1" x14ac:dyDescent="0.35">
      <c r="A3" s="4"/>
      <c r="B3" s="4"/>
      <c r="C3" s="4"/>
      <c r="D3" s="4"/>
      <c r="E3" s="4"/>
      <c r="F3" s="4"/>
    </row>
    <row r="4" spans="1:6" ht="24.75" customHeight="1" x14ac:dyDescent="0.35">
      <c r="A4" s="5" t="s">
        <v>2</v>
      </c>
      <c r="B4" s="5"/>
      <c r="C4" s="5"/>
      <c r="D4" s="5"/>
      <c r="E4" s="5"/>
      <c r="F4" s="5"/>
    </row>
    <row r="5" spans="1:6" ht="27.75" customHeight="1" x14ac:dyDescent="0.3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</row>
    <row r="6" spans="1:6" ht="15" customHeight="1" x14ac:dyDescent="0.35">
      <c r="A6" s="7" t="s">
        <v>8</v>
      </c>
      <c r="B6" s="8" t="s">
        <v>9</v>
      </c>
      <c r="C6" s="9" t="s">
        <v>10</v>
      </c>
      <c r="D6" s="9" t="s">
        <v>11</v>
      </c>
      <c r="E6" s="10" t="s">
        <v>12</v>
      </c>
      <c r="F6" s="11" t="s">
        <v>13</v>
      </c>
    </row>
    <row r="7" spans="1:6" ht="15" customHeight="1" x14ac:dyDescent="0.35">
      <c r="A7" s="7" t="s">
        <v>8</v>
      </c>
      <c r="B7" s="12" t="s">
        <v>14</v>
      </c>
      <c r="C7" s="13" t="s">
        <v>15</v>
      </c>
      <c r="D7" s="13" t="s">
        <v>16</v>
      </c>
      <c r="E7" s="14" t="s">
        <v>12</v>
      </c>
      <c r="F7" s="11" t="s">
        <v>13</v>
      </c>
    </row>
    <row r="8" spans="1:6" ht="15" customHeight="1" x14ac:dyDescent="0.35">
      <c r="A8" s="7" t="s">
        <v>8</v>
      </c>
      <c r="B8" s="8" t="s">
        <v>17</v>
      </c>
      <c r="C8" s="9" t="s">
        <v>18</v>
      </c>
      <c r="D8" s="9" t="s">
        <v>19</v>
      </c>
      <c r="E8" s="10" t="s">
        <v>12</v>
      </c>
      <c r="F8" s="11" t="s">
        <v>13</v>
      </c>
    </row>
    <row r="9" spans="1:6" ht="15" customHeight="1" x14ac:dyDescent="0.35">
      <c r="A9" s="7" t="s">
        <v>8</v>
      </c>
      <c r="B9" s="12" t="s">
        <v>20</v>
      </c>
      <c r="C9" s="13" t="s">
        <v>21</v>
      </c>
      <c r="D9" s="13" t="s">
        <v>22</v>
      </c>
      <c r="E9" s="14" t="s">
        <v>12</v>
      </c>
      <c r="F9" s="11" t="s">
        <v>13</v>
      </c>
    </row>
    <row r="10" spans="1:6" ht="15" customHeight="1" x14ac:dyDescent="0.35">
      <c r="A10" s="7" t="s">
        <v>8</v>
      </c>
      <c r="B10" s="8" t="s">
        <v>23</v>
      </c>
      <c r="C10" s="9" t="s">
        <v>24</v>
      </c>
      <c r="D10" s="9" t="s">
        <v>25</v>
      </c>
      <c r="E10" s="10" t="s">
        <v>12</v>
      </c>
      <c r="F10" s="11" t="s">
        <v>13</v>
      </c>
    </row>
    <row r="11" spans="1:6" ht="15" customHeight="1" x14ac:dyDescent="0.35">
      <c r="A11" s="7" t="s">
        <v>8</v>
      </c>
      <c r="B11" s="12" t="s">
        <v>26</v>
      </c>
      <c r="C11" s="13" t="s">
        <v>27</v>
      </c>
      <c r="D11" s="13" t="s">
        <v>28</v>
      </c>
      <c r="E11" s="14" t="s">
        <v>12</v>
      </c>
      <c r="F11" s="11" t="s">
        <v>13</v>
      </c>
    </row>
    <row r="12" spans="1:6" ht="15" customHeight="1" x14ac:dyDescent="0.35">
      <c r="A12" s="7" t="s">
        <v>8</v>
      </c>
      <c r="B12" s="8" t="s">
        <v>29</v>
      </c>
      <c r="C12" s="9" t="s">
        <v>30</v>
      </c>
      <c r="D12" s="9" t="s">
        <v>31</v>
      </c>
      <c r="E12" s="10" t="s">
        <v>12</v>
      </c>
      <c r="F12" s="11" t="s">
        <v>13</v>
      </c>
    </row>
    <row r="14" spans="1:6" ht="24.75" customHeight="1" x14ac:dyDescent="0.35">
      <c r="A14" s="5" t="s">
        <v>32</v>
      </c>
      <c r="B14" s="5"/>
      <c r="C14" s="5"/>
      <c r="D14" s="5"/>
      <c r="E14" s="5"/>
      <c r="F14" s="5"/>
    </row>
    <row r="15" spans="1:6" ht="27.75" customHeight="1" x14ac:dyDescent="0.35">
      <c r="A15" s="6" t="s">
        <v>3</v>
      </c>
      <c r="B15" s="6" t="s">
        <v>4</v>
      </c>
      <c r="C15" s="6" t="s">
        <v>5</v>
      </c>
      <c r="D15" s="6" t="s">
        <v>6</v>
      </c>
      <c r="E15" s="6" t="s">
        <v>7</v>
      </c>
    </row>
    <row r="16" spans="1:6" ht="15" customHeight="1" x14ac:dyDescent="0.35">
      <c r="A16" s="7" t="s">
        <v>8</v>
      </c>
      <c r="B16" s="8" t="s">
        <v>33</v>
      </c>
      <c r="C16" s="9" t="s">
        <v>34</v>
      </c>
      <c r="D16" s="9" t="s">
        <v>35</v>
      </c>
      <c r="E16" s="10" t="s">
        <v>12</v>
      </c>
      <c r="F16" s="11" t="s">
        <v>13</v>
      </c>
    </row>
    <row r="17" spans="1:6" ht="15" customHeight="1" x14ac:dyDescent="0.35">
      <c r="A17" s="7" t="s">
        <v>8</v>
      </c>
      <c r="B17" s="12" t="s">
        <v>36</v>
      </c>
      <c r="C17" s="13" t="s">
        <v>37</v>
      </c>
      <c r="D17" s="13" t="s">
        <v>38</v>
      </c>
      <c r="E17" s="14" t="s">
        <v>12</v>
      </c>
      <c r="F17" s="11" t="s">
        <v>13</v>
      </c>
    </row>
    <row r="18" spans="1:6" ht="15" customHeight="1" x14ac:dyDescent="0.35">
      <c r="A18" s="7" t="s">
        <v>8</v>
      </c>
      <c r="B18" s="8" t="s">
        <v>39</v>
      </c>
      <c r="C18" s="9" t="s">
        <v>40</v>
      </c>
      <c r="D18" s="9" t="s">
        <v>41</v>
      </c>
      <c r="E18" s="10" t="s">
        <v>12</v>
      </c>
      <c r="F18" s="11" t="s">
        <v>13</v>
      </c>
    </row>
    <row r="19" spans="1:6" ht="15" customHeight="1" x14ac:dyDescent="0.35">
      <c r="A19" s="7" t="s">
        <v>8</v>
      </c>
      <c r="B19" s="12" t="s">
        <v>42</v>
      </c>
      <c r="C19" s="13" t="s">
        <v>43</v>
      </c>
      <c r="D19" s="13" t="s">
        <v>44</v>
      </c>
      <c r="E19" s="14" t="s">
        <v>12</v>
      </c>
      <c r="F19" s="11" t="s">
        <v>13</v>
      </c>
    </row>
    <row r="20" spans="1:6" ht="15" customHeight="1" x14ac:dyDescent="0.35">
      <c r="A20" s="7" t="s">
        <v>8</v>
      </c>
      <c r="B20" s="8" t="s">
        <v>45</v>
      </c>
      <c r="C20" s="9" t="s">
        <v>46</v>
      </c>
      <c r="D20" s="9" t="s">
        <v>47</v>
      </c>
      <c r="E20" s="10" t="s">
        <v>12</v>
      </c>
      <c r="F20" s="11" t="s">
        <v>13</v>
      </c>
    </row>
    <row r="21" spans="1:6" ht="15" customHeight="1" x14ac:dyDescent="0.35">
      <c r="A21" s="7" t="s">
        <v>8</v>
      </c>
      <c r="B21" s="12" t="s">
        <v>48</v>
      </c>
      <c r="C21" s="13" t="s">
        <v>49</v>
      </c>
      <c r="D21" s="13" t="s">
        <v>50</v>
      </c>
      <c r="E21" s="14" t="s">
        <v>12</v>
      </c>
      <c r="F21" s="11" t="s">
        <v>13</v>
      </c>
    </row>
    <row r="23" spans="1:6" ht="24.75" customHeight="1" x14ac:dyDescent="0.35">
      <c r="A23" s="5" t="s">
        <v>51</v>
      </c>
      <c r="B23" s="5"/>
      <c r="C23" s="5"/>
      <c r="D23" s="5"/>
      <c r="E23" s="5"/>
      <c r="F23" s="5"/>
    </row>
    <row r="24" spans="1:6" ht="27.75" customHeight="1" x14ac:dyDescent="0.35">
      <c r="A24" s="6" t="s">
        <v>3</v>
      </c>
      <c r="B24" s="6" t="s">
        <v>4</v>
      </c>
      <c r="C24" s="6" t="s">
        <v>5</v>
      </c>
      <c r="D24" s="6" t="s">
        <v>6</v>
      </c>
      <c r="E24" s="6" t="s">
        <v>7</v>
      </c>
    </row>
    <row r="25" spans="1:6" ht="15" customHeight="1" x14ac:dyDescent="0.35">
      <c r="A25" s="7" t="s">
        <v>8</v>
      </c>
      <c r="B25" s="12" t="s">
        <v>52</v>
      </c>
      <c r="C25" s="13" t="s">
        <v>53</v>
      </c>
      <c r="D25" s="13" t="s">
        <v>54</v>
      </c>
      <c r="E25" s="14" t="s">
        <v>12</v>
      </c>
      <c r="F25" s="11" t="s">
        <v>13</v>
      </c>
    </row>
    <row r="26" spans="1:6" ht="15" customHeight="1" x14ac:dyDescent="0.35">
      <c r="A26" s="7" t="s">
        <v>8</v>
      </c>
      <c r="B26" s="8" t="s">
        <v>55</v>
      </c>
      <c r="C26" s="9" t="s">
        <v>56</v>
      </c>
      <c r="D26" s="9" t="s">
        <v>57</v>
      </c>
      <c r="E26" s="10" t="s">
        <v>12</v>
      </c>
      <c r="F26" s="11" t="s">
        <v>13</v>
      </c>
    </row>
    <row r="27" spans="1:6" ht="15" customHeight="1" x14ac:dyDescent="0.35">
      <c r="A27" s="7" t="s">
        <v>8</v>
      </c>
      <c r="B27" s="12" t="s">
        <v>58</v>
      </c>
      <c r="C27" s="13" t="s">
        <v>59</v>
      </c>
      <c r="D27" s="13" t="s">
        <v>60</v>
      </c>
      <c r="E27" s="14" t="s">
        <v>12</v>
      </c>
      <c r="F27" s="11" t="s">
        <v>13</v>
      </c>
    </row>
    <row r="28" spans="1:6" ht="15" customHeight="1" x14ac:dyDescent="0.35">
      <c r="A28" s="7" t="s">
        <v>8</v>
      </c>
      <c r="B28" s="8" t="s">
        <v>61</v>
      </c>
      <c r="C28" s="9" t="s">
        <v>62</v>
      </c>
      <c r="D28" s="9" t="s">
        <v>63</v>
      </c>
      <c r="E28" s="10" t="s">
        <v>12</v>
      </c>
      <c r="F28" s="11" t="s">
        <v>13</v>
      </c>
    </row>
    <row r="30" spans="1:6" ht="24.75" customHeight="1" x14ac:dyDescent="0.35">
      <c r="A30" s="5" t="s">
        <v>64</v>
      </c>
      <c r="B30" s="5"/>
      <c r="C30" s="5"/>
      <c r="D30" s="5"/>
      <c r="E30" s="5"/>
      <c r="F30" s="5"/>
    </row>
    <row r="31" spans="1:6" ht="27.75" customHeight="1" x14ac:dyDescent="0.35">
      <c r="A31" s="6" t="s">
        <v>3</v>
      </c>
      <c r="B31" s="6" t="s">
        <v>4</v>
      </c>
      <c r="C31" s="6" t="s">
        <v>5</v>
      </c>
      <c r="D31" s="6" t="s">
        <v>6</v>
      </c>
      <c r="E31" s="6" t="s">
        <v>7</v>
      </c>
    </row>
    <row r="32" spans="1:6" ht="15" customHeight="1" x14ac:dyDescent="0.35">
      <c r="A32" s="7" t="s">
        <v>8</v>
      </c>
      <c r="B32" s="8" t="s">
        <v>65</v>
      </c>
      <c r="C32" s="9" t="s">
        <v>66</v>
      </c>
      <c r="D32" s="9" t="s">
        <v>67</v>
      </c>
      <c r="E32" s="10" t="s">
        <v>12</v>
      </c>
      <c r="F32" s="11" t="s">
        <v>13</v>
      </c>
    </row>
    <row r="33" spans="1:6" ht="23.25" customHeight="1" x14ac:dyDescent="0.35">
      <c r="A33" s="7" t="s">
        <v>8</v>
      </c>
      <c r="B33" s="12" t="s">
        <v>68</v>
      </c>
      <c r="C33" s="13" t="s">
        <v>69</v>
      </c>
      <c r="D33" s="13" t="s">
        <v>70</v>
      </c>
      <c r="E33" s="14" t="s">
        <v>12</v>
      </c>
      <c r="F33" s="11" t="s">
        <v>13</v>
      </c>
    </row>
    <row r="35" spans="1:6" ht="24.75" customHeight="1" x14ac:dyDescent="0.35">
      <c r="A35" s="5" t="s">
        <v>71</v>
      </c>
      <c r="B35" s="5"/>
      <c r="C35" s="5"/>
      <c r="D35" s="5"/>
      <c r="E35" s="5"/>
      <c r="F35" s="5"/>
    </row>
    <row r="36" spans="1:6" ht="27.75" customHeight="1" x14ac:dyDescent="0.35">
      <c r="A36" s="6" t="s">
        <v>3</v>
      </c>
      <c r="B36" s="6" t="s">
        <v>4</v>
      </c>
      <c r="C36" s="6" t="s">
        <v>5</v>
      </c>
      <c r="D36" s="6" t="s">
        <v>6</v>
      </c>
      <c r="E36" s="6" t="s">
        <v>7</v>
      </c>
    </row>
    <row r="37" spans="1:6" ht="15" customHeight="1" x14ac:dyDescent="0.35">
      <c r="A37" s="7" t="s">
        <v>8</v>
      </c>
      <c r="B37" s="12" t="s">
        <v>72</v>
      </c>
      <c r="C37" s="13" t="s">
        <v>73</v>
      </c>
      <c r="D37" s="13" t="s">
        <v>74</v>
      </c>
      <c r="E37" s="14" t="s">
        <v>12</v>
      </c>
      <c r="F37" s="11" t="s">
        <v>13</v>
      </c>
    </row>
    <row r="39" spans="1:6" ht="24.75" customHeight="1" x14ac:dyDescent="0.35">
      <c r="A39" s="5" t="s">
        <v>75</v>
      </c>
      <c r="B39" s="5"/>
      <c r="C39" s="5"/>
      <c r="D39" s="5"/>
      <c r="E39" s="5"/>
      <c r="F39" s="5"/>
    </row>
    <row r="40" spans="1:6" ht="27.75" customHeight="1" x14ac:dyDescent="0.35">
      <c r="A40" s="6" t="s">
        <v>3</v>
      </c>
      <c r="B40" s="6" t="s">
        <v>4</v>
      </c>
      <c r="C40" s="6" t="s">
        <v>5</v>
      </c>
      <c r="D40" s="6" t="s">
        <v>6</v>
      </c>
      <c r="E40" s="6" t="s">
        <v>7</v>
      </c>
    </row>
    <row r="41" spans="1:6" ht="15" customHeight="1" x14ac:dyDescent="0.35">
      <c r="A41" s="7" t="s">
        <v>8</v>
      </c>
      <c r="B41" s="12" t="s">
        <v>76</v>
      </c>
      <c r="C41" s="13" t="s">
        <v>77</v>
      </c>
      <c r="D41" s="13" t="s">
        <v>78</v>
      </c>
      <c r="E41" s="14" t="s">
        <v>12</v>
      </c>
      <c r="F41" s="11" t="s">
        <v>13</v>
      </c>
    </row>
    <row r="43" spans="1:6" ht="15" customHeight="1" x14ac:dyDescent="0.35">
      <c r="A43" s="15" t="s">
        <v>79</v>
      </c>
    </row>
    <row r="44" spans="1:6" ht="15" customHeight="1" x14ac:dyDescent="0.35">
      <c r="A44" s="16" t="s">
        <v>3</v>
      </c>
      <c r="B44" s="16" t="s">
        <v>4</v>
      </c>
      <c r="C44" s="16" t="s">
        <v>5</v>
      </c>
      <c r="D44" s="16" t="s">
        <v>6</v>
      </c>
      <c r="E44" s="16" t="s">
        <v>7</v>
      </c>
    </row>
    <row r="45" spans="1:6" ht="15" customHeight="1" x14ac:dyDescent="0.35">
      <c r="A45" s="15" t="s">
        <v>8</v>
      </c>
      <c r="B45" s="17" t="s">
        <v>80</v>
      </c>
      <c r="C45" s="18" t="s">
        <v>81</v>
      </c>
      <c r="D45" s="18" t="s">
        <v>82</v>
      </c>
      <c r="E45" s="18" t="s">
        <v>12</v>
      </c>
      <c r="F45" s="17" t="s">
        <v>13</v>
      </c>
    </row>
    <row r="46" spans="1:6" ht="15" customHeight="1" x14ac:dyDescent="0.35">
      <c r="A46" s="15" t="s">
        <v>8</v>
      </c>
      <c r="B46" s="17" t="s">
        <v>83</v>
      </c>
      <c r="C46" s="18" t="s">
        <v>84</v>
      </c>
      <c r="D46" s="18" t="s">
        <v>82</v>
      </c>
      <c r="E46" s="18" t="s">
        <v>12</v>
      </c>
      <c r="F46" s="17" t="s">
        <v>13</v>
      </c>
    </row>
    <row r="47" spans="1:6" ht="15" customHeight="1" x14ac:dyDescent="0.35">
      <c r="A47" s="15" t="s">
        <v>8</v>
      </c>
      <c r="B47" s="17" t="s">
        <v>85</v>
      </c>
      <c r="C47" s="18" t="s">
        <v>86</v>
      </c>
      <c r="D47" s="18" t="s">
        <v>82</v>
      </c>
      <c r="E47" s="18" t="s">
        <v>12</v>
      </c>
      <c r="F47" s="17" t="s">
        <v>13</v>
      </c>
    </row>
  </sheetData>
  <sheetProtection algorithmName="SHA-512" hashValue="w/g0NylT9SiUjiZXSokUzVzXnV4qLTnLWu0p5FUJOSUnkf7FbHn2XZDw29y6xLjKAFa6yyTx4QoHl/IHTNutvQ==" saltValue="caduQB84xyUJIoTOX1F5sQ==" spinCount="100000" sheet="1" objects="1" scenarios="1"/>
  <mergeCells count="8">
    <mergeCell ref="A30:F30"/>
    <mergeCell ref="A35:F35"/>
    <mergeCell ref="A39:F39"/>
    <mergeCell ref="A1:F1"/>
    <mergeCell ref="A2:F2"/>
    <mergeCell ref="A4:F4"/>
    <mergeCell ref="A14:F14"/>
    <mergeCell ref="A23:F23"/>
  </mergeCells>
  <hyperlinks>
    <hyperlink ref="B6" location="TB_COA!A1" display="TB_COA" xr:uid="{00000000-0004-0000-0000-000000000000}"/>
    <hyperlink ref="F6" location="TB_COA!A1" display="Go →" xr:uid="{00000000-0004-0000-0000-000001000000}"/>
    <hyperlink ref="B7" location="TB_CBE_Rates!A1" display="TB_CBE_Rates" xr:uid="{00000000-0004-0000-0000-000002000000}"/>
    <hyperlink ref="F7" location="TB_CBE_Rates!A1" display="Go →" xr:uid="{00000000-0004-0000-0000-000003000000}"/>
    <hyperlink ref="B8" location="TB_Clients_Master!A1" display="TB_Clients_Master" xr:uid="{00000000-0004-0000-0000-000004000000}"/>
    <hyperlink ref="F8" location="TB_Clients_Master!A1" display="Go →" xr:uid="{00000000-0004-0000-0000-000005000000}"/>
    <hyperlink ref="B9" location="TB_Hotels_Master!A1" display="TB_Hotels_Master" xr:uid="{00000000-0004-0000-0000-000006000000}"/>
    <hyperlink ref="F9" location="TB_Hotels_Master!A1" display="Go →" xr:uid="{00000000-0004-0000-0000-000007000000}"/>
    <hyperlink ref="B10" location="TB_Reps_Master!A1" display="TB_Reps_Master" xr:uid="{00000000-0004-0000-0000-000008000000}"/>
    <hyperlink ref="F10" location="TB_Reps_Master!A1" display="Go →" xr:uid="{00000000-0004-0000-0000-000009000000}"/>
    <hyperlink ref="B11" location="TB_Suppliers_Master!A1" display="TB_Suppliers_Master" xr:uid="{00000000-0004-0000-0000-00000A000000}"/>
    <hyperlink ref="F11" location="TB_Suppliers_Master!A1" display="Go →" xr:uid="{00000000-0004-0000-0000-00000B000000}"/>
    <hyperlink ref="B12" location="TB_Dimensions!A1" display="TB_Dimensions" xr:uid="{00000000-0004-0000-0000-00000C000000}"/>
    <hyperlink ref="F12" location="TB_Dimensions!A1" display="Go →" xr:uid="{00000000-0004-0000-0000-00000D000000}"/>
    <hyperlink ref="B16" location="TB_Master_Bookings!A1" display="TB_Master_Bookings" xr:uid="{00000000-0004-0000-0000-00000E000000}"/>
    <hyperlink ref="F16" location="TB_Master_Bookings!A1" display="Go →" xr:uid="{00000000-0004-0000-0000-00000F000000}"/>
    <hyperlink ref="B17" location="TB_Hotel_Accruals!A1" display="TB_Hotel_Accruals" xr:uid="{00000000-0004-0000-0000-000010000000}"/>
    <hyperlink ref="F17" location="TB_Hotel_Accruals!A1" display="Go →" xr:uid="{00000000-0004-0000-0000-000011000000}"/>
    <hyperlink ref="B18" location="TB_Excursions_Sales!A1" display="TB_Excursions_Sales" xr:uid="{00000000-0004-0000-0000-000012000000}"/>
    <hyperlink ref="F18" location="TB_Excursions_Sales!A1" display="Go →" xr:uid="{00000000-0004-0000-0000-000013000000}"/>
    <hyperlink ref="B19" location="TB_Cash_Rep_Reconciliation!A1" display="TB_Cash_Rep_Reconciliation" xr:uid="{00000000-0004-0000-0000-000014000000}"/>
    <hyperlink ref="F19" location="TB_Cash_Rep_Reconciliation!A1" display="Go →" xr:uid="{00000000-0004-0000-0000-000015000000}"/>
    <hyperlink ref="B20" location="TB_AP_Invoices!A1" display="TB_AP_Invoices" xr:uid="{00000000-0004-0000-0000-000016000000}"/>
    <hyperlink ref="F20" location="TB_AP_Invoices!A1" display="Go →" xr:uid="{00000000-0004-0000-0000-000017000000}"/>
    <hyperlink ref="B21" location="TB_Bank_Reconciliation!A1" display="TB_Bank_Reconciliation" xr:uid="{00000000-0004-0000-0000-000018000000}"/>
    <hyperlink ref="F21" location="TB_Bank_Reconciliation!A1" display="Go →" xr:uid="{00000000-0004-0000-0000-000019000000}"/>
    <hyperlink ref="B25" location="TB_General_Journal!A1" display="TB_General_Journal" xr:uid="{00000000-0004-0000-0000-00001A000000}"/>
    <hyperlink ref="F25" location="TB_General_Journal!A1" display="Go →" xr:uid="{00000000-0004-0000-0000-00001B000000}"/>
    <hyperlink ref="B26" location="TB_Trial_Balance!A1" display="TB_Trial_Balance" xr:uid="{00000000-0004-0000-0000-00001C000000}"/>
    <hyperlink ref="F26" location="TB_Trial_Balance!A1" display="Go →" xr:uid="{00000000-0004-0000-0000-00001D000000}"/>
    <hyperlink ref="B27" location="TB_ETA_Integration!A1" display="TB_ETA_Integration" xr:uid="{00000000-0004-0000-0000-00001E000000}"/>
    <hyperlink ref="F27" location="TB_ETA_Integration!A1" display="Go →" xr:uid="{00000000-0004-0000-0000-00001F000000}"/>
    <hyperlink ref="B28" location="TB_Audit_Trail!A1" display="TB_Audit_Trail" xr:uid="{00000000-0004-0000-0000-000020000000}"/>
    <hyperlink ref="F28" location="TB_Audit_Trail!A1" display="Go →" xr:uid="{00000000-0004-0000-0000-000021000000}"/>
    <hyperlink ref="B32" location="TB_Budget_vs_Actual!A1" display="TB_Budget_vs_Actual" xr:uid="{00000000-0004-0000-0000-000022000000}"/>
    <hyperlink ref="F32" location="TB_Budget_vs_Actual!A1" display="Go →" xr:uid="{00000000-0004-0000-0000-000023000000}"/>
    <hyperlink ref="B33" location="TB_Golden_Report!A1" display="TB_Golden_Report" xr:uid="{00000000-0004-0000-0000-000024000000}"/>
    <hyperlink ref="F33" location="TB_Golden_Report!A1" display="Go →" xr:uid="{00000000-0004-0000-0000-000025000000}"/>
    <hyperlink ref="B37" location="TB_Migration_Plan!A1" display="TB_Migration_Plan" xr:uid="{00000000-0004-0000-0000-000026000000}"/>
    <hyperlink ref="F37" location="TB_Migration_Plan!A1" display="Go →" xr:uid="{00000000-0004-0000-0000-000027000000}"/>
    <hyperlink ref="B41" location="INDEX_User_Guide!A1" display="INDEX_User_Guide" xr:uid="{00000000-0004-0000-0000-000028000000}"/>
    <hyperlink ref="F41" location="INDEX_User_Guide!A1" display="Go →" xr:uid="{00000000-0004-0000-0000-000029000000}"/>
    <hyperlink ref="B45" location="TB_WHT_Quarterly!A1" display="TB_WHT_Quarterly" xr:uid="{00000000-0004-0000-0000-00002A000000}"/>
    <hyperlink ref="F45" location="TB_WHT_Quarterly!A1" display="Go →" xr:uid="{00000000-0004-0000-0000-00002B000000}"/>
    <hyperlink ref="B46" location="TB_Income_Statement!A1" display="TB_Income_Statement" xr:uid="{00000000-0004-0000-0000-00002C000000}"/>
    <hyperlink ref="F46" location="TB_Income_Statement!A1" display="Go →" xr:uid="{00000000-0004-0000-0000-00002D000000}"/>
    <hyperlink ref="B47" location="TB_Balance_Sheet!A1" display="TB_Balance_Sheet" xr:uid="{00000000-0004-0000-0000-00002E000000}"/>
    <hyperlink ref="F47" location="TB_Balance_Sheet!A1" display="Go →" xr:uid="{00000000-0004-0000-0000-00002F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42"/>
  <sheetViews>
    <sheetView topLeftCell="A36" zoomScaleNormal="100" workbookViewId="0">
      <selection activeCell="A44" sqref="A44:XFD1048576"/>
    </sheetView>
  </sheetViews>
  <sheetFormatPr defaultColWidth="8.6328125" defaultRowHeight="14.5" x14ac:dyDescent="0.35"/>
  <cols>
    <col min="1" max="5" width="45" style="2" customWidth="1"/>
    <col min="6" max="7" width="8" style="2" customWidth="1"/>
    <col min="8" max="8" width="16" style="2" customWidth="1"/>
    <col min="9" max="16384" width="8.6328125" style="2"/>
  </cols>
  <sheetData>
    <row r="1" spans="1:8" ht="25.5" customHeight="1" x14ac:dyDescent="0.35">
      <c r="A1" s="19" t="s">
        <v>87</v>
      </c>
      <c r="B1" s="19"/>
      <c r="C1" s="19"/>
      <c r="D1" s="19"/>
      <c r="E1" s="19"/>
      <c r="F1" s="19"/>
      <c r="H1" s="20" t="s">
        <v>88</v>
      </c>
    </row>
    <row r="2" spans="1:8" ht="19.5" customHeight="1" x14ac:dyDescent="0.35">
      <c r="A2" s="21" t="s">
        <v>89</v>
      </c>
      <c r="B2" s="21"/>
      <c r="C2" s="21"/>
      <c r="D2" s="21"/>
      <c r="E2" s="21"/>
      <c r="F2" s="21"/>
    </row>
    <row r="4" spans="1:8" ht="17.25" customHeight="1" x14ac:dyDescent="0.35">
      <c r="A4" s="22" t="s">
        <v>90</v>
      </c>
    </row>
    <row r="5" spans="1:8" ht="15" customHeight="1" x14ac:dyDescent="0.45">
      <c r="A5" s="23" t="s">
        <v>4</v>
      </c>
      <c r="B5" s="23" t="s">
        <v>91</v>
      </c>
      <c r="C5" s="23" t="s">
        <v>92</v>
      </c>
      <c r="D5" s="23" t="s">
        <v>6</v>
      </c>
      <c r="E5" s="23" t="s">
        <v>93</v>
      </c>
      <c r="F5" s="23"/>
    </row>
    <row r="6" spans="1:8" ht="15" customHeight="1" x14ac:dyDescent="0.35">
      <c r="A6" s="24" t="s">
        <v>9</v>
      </c>
      <c r="B6" s="24" t="s">
        <v>94</v>
      </c>
      <c r="C6" s="24" t="s">
        <v>95</v>
      </c>
      <c r="D6" s="24" t="s">
        <v>96</v>
      </c>
      <c r="E6" s="24" t="s">
        <v>97</v>
      </c>
      <c r="F6" s="24"/>
    </row>
    <row r="7" spans="1:8" ht="15" customHeight="1" x14ac:dyDescent="0.35">
      <c r="A7" s="24" t="s">
        <v>14</v>
      </c>
      <c r="B7" s="24" t="s">
        <v>94</v>
      </c>
      <c r="C7" s="24" t="s">
        <v>98</v>
      </c>
      <c r="D7" s="24" t="s">
        <v>99</v>
      </c>
      <c r="E7" s="24" t="s">
        <v>100</v>
      </c>
      <c r="F7" s="24"/>
    </row>
    <row r="8" spans="1:8" ht="15" customHeight="1" x14ac:dyDescent="0.35">
      <c r="A8" s="24" t="s">
        <v>17</v>
      </c>
      <c r="B8" s="24" t="s">
        <v>101</v>
      </c>
      <c r="C8" s="24" t="s">
        <v>102</v>
      </c>
      <c r="D8" s="24" t="s">
        <v>103</v>
      </c>
      <c r="E8" s="24" t="s">
        <v>104</v>
      </c>
      <c r="F8" s="24"/>
    </row>
    <row r="9" spans="1:8" ht="15" customHeight="1" x14ac:dyDescent="0.35">
      <c r="A9" s="24" t="s">
        <v>20</v>
      </c>
      <c r="B9" s="24" t="s">
        <v>101</v>
      </c>
      <c r="C9" s="24" t="s">
        <v>105</v>
      </c>
      <c r="D9" s="24" t="s">
        <v>106</v>
      </c>
      <c r="E9" s="24" t="s">
        <v>107</v>
      </c>
      <c r="F9" s="24"/>
    </row>
    <row r="10" spans="1:8" ht="15" customHeight="1" x14ac:dyDescent="0.35">
      <c r="A10" s="24" t="s">
        <v>23</v>
      </c>
      <c r="B10" s="24" t="s">
        <v>101</v>
      </c>
      <c r="C10" s="24" t="s">
        <v>108</v>
      </c>
      <c r="D10" s="24" t="s">
        <v>109</v>
      </c>
      <c r="E10" s="24" t="s">
        <v>110</v>
      </c>
      <c r="F10" s="24"/>
    </row>
    <row r="11" spans="1:8" ht="15" customHeight="1" x14ac:dyDescent="0.35">
      <c r="A11" s="24" t="s">
        <v>33</v>
      </c>
      <c r="B11" s="24" t="s">
        <v>111</v>
      </c>
      <c r="C11" s="24" t="s">
        <v>112</v>
      </c>
      <c r="D11" s="24" t="s">
        <v>113</v>
      </c>
      <c r="E11" s="24" t="s">
        <v>114</v>
      </c>
      <c r="F11" s="24"/>
    </row>
    <row r="12" spans="1:8" ht="15" customHeight="1" x14ac:dyDescent="0.35">
      <c r="A12" s="24" t="s">
        <v>36</v>
      </c>
      <c r="B12" s="24" t="s">
        <v>111</v>
      </c>
      <c r="C12" s="24" t="s">
        <v>115</v>
      </c>
      <c r="D12" s="24" t="s">
        <v>116</v>
      </c>
      <c r="E12" s="24" t="s">
        <v>117</v>
      </c>
      <c r="F12" s="24"/>
    </row>
    <row r="13" spans="1:8" ht="15" customHeight="1" x14ac:dyDescent="0.35">
      <c r="A13" s="24" t="s">
        <v>39</v>
      </c>
      <c r="B13" s="24" t="s">
        <v>111</v>
      </c>
      <c r="C13" s="24" t="s">
        <v>118</v>
      </c>
      <c r="D13" s="24" t="s">
        <v>119</v>
      </c>
      <c r="E13" s="24" t="s">
        <v>120</v>
      </c>
      <c r="F13" s="24"/>
    </row>
    <row r="14" spans="1:8" ht="15" customHeight="1" x14ac:dyDescent="0.35">
      <c r="A14" s="24" t="s">
        <v>42</v>
      </c>
      <c r="B14" s="24" t="s">
        <v>111</v>
      </c>
      <c r="C14" s="24" t="s">
        <v>121</v>
      </c>
      <c r="D14" s="24" t="s">
        <v>122</v>
      </c>
      <c r="E14" s="24" t="s">
        <v>123</v>
      </c>
      <c r="F14" s="24"/>
    </row>
    <row r="15" spans="1:8" ht="15" customHeight="1" x14ac:dyDescent="0.35">
      <c r="A15" s="24" t="s">
        <v>45</v>
      </c>
      <c r="B15" s="24" t="s">
        <v>111</v>
      </c>
      <c r="C15" s="24" t="s">
        <v>124</v>
      </c>
      <c r="D15" s="24" t="s">
        <v>125</v>
      </c>
      <c r="E15" s="24" t="s">
        <v>126</v>
      </c>
      <c r="F15" s="24"/>
    </row>
    <row r="16" spans="1:8" ht="15" customHeight="1" x14ac:dyDescent="0.35">
      <c r="A16" s="24" t="s">
        <v>52</v>
      </c>
      <c r="B16" s="24" t="s">
        <v>127</v>
      </c>
      <c r="C16" s="24" t="s">
        <v>128</v>
      </c>
      <c r="D16" s="24" t="s">
        <v>129</v>
      </c>
      <c r="E16" s="24" t="s">
        <v>130</v>
      </c>
      <c r="F16" s="24"/>
    </row>
    <row r="17" spans="1:6" ht="15" customHeight="1" x14ac:dyDescent="0.35">
      <c r="A17" s="24" t="s">
        <v>55</v>
      </c>
      <c r="B17" s="24" t="s">
        <v>131</v>
      </c>
      <c r="C17" s="24" t="s">
        <v>132</v>
      </c>
      <c r="D17" s="24" t="s">
        <v>133</v>
      </c>
      <c r="E17" s="24" t="s">
        <v>134</v>
      </c>
      <c r="F17" s="24"/>
    </row>
    <row r="20" spans="1:6" ht="17.25" customHeight="1" x14ac:dyDescent="0.35">
      <c r="A20" s="22" t="s">
        <v>135</v>
      </c>
    </row>
    <row r="21" spans="1:6" ht="15" customHeight="1" x14ac:dyDescent="0.35">
      <c r="A21" s="25" t="s">
        <v>136</v>
      </c>
      <c r="B21" s="25" t="s">
        <v>137</v>
      </c>
      <c r="C21" s="25" t="s">
        <v>138</v>
      </c>
      <c r="D21" s="25" t="s">
        <v>139</v>
      </c>
      <c r="E21" s="25"/>
      <c r="F21" s="25"/>
    </row>
    <row r="22" spans="1:6" ht="15" customHeight="1" x14ac:dyDescent="0.35">
      <c r="A22" s="24" t="s">
        <v>140</v>
      </c>
      <c r="B22" s="24" t="s">
        <v>141</v>
      </c>
      <c r="C22" s="24" t="s">
        <v>14</v>
      </c>
      <c r="D22" s="24" t="s">
        <v>142</v>
      </c>
      <c r="E22" s="24"/>
      <c r="F22" s="24"/>
    </row>
    <row r="23" spans="1:6" ht="15" customHeight="1" x14ac:dyDescent="0.35">
      <c r="A23" s="24" t="s">
        <v>143</v>
      </c>
      <c r="B23" s="24" t="s">
        <v>144</v>
      </c>
      <c r="C23" s="24" t="s">
        <v>145</v>
      </c>
      <c r="D23" s="24" t="s">
        <v>146</v>
      </c>
      <c r="E23" s="24"/>
      <c r="F23" s="24"/>
    </row>
    <row r="24" spans="1:6" ht="15" customHeight="1" x14ac:dyDescent="0.35">
      <c r="A24" s="24" t="s">
        <v>147</v>
      </c>
      <c r="B24" s="24" t="s">
        <v>148</v>
      </c>
      <c r="C24" s="24" t="s">
        <v>33</v>
      </c>
      <c r="D24" s="24" t="s">
        <v>149</v>
      </c>
      <c r="E24" s="24"/>
      <c r="F24" s="24"/>
    </row>
    <row r="25" spans="1:6" ht="15" customHeight="1" x14ac:dyDescent="0.35">
      <c r="A25" s="24" t="s">
        <v>150</v>
      </c>
      <c r="B25" s="24" t="s">
        <v>151</v>
      </c>
      <c r="C25" s="24" t="s">
        <v>36</v>
      </c>
      <c r="D25" s="24" t="s">
        <v>152</v>
      </c>
      <c r="E25" s="24"/>
      <c r="F25" s="24"/>
    </row>
    <row r="26" spans="1:6" ht="15" customHeight="1" x14ac:dyDescent="0.35">
      <c r="A26" s="24" t="s">
        <v>153</v>
      </c>
      <c r="B26" s="24" t="s">
        <v>154</v>
      </c>
      <c r="C26" s="24" t="s">
        <v>39</v>
      </c>
      <c r="D26" s="24" t="s">
        <v>155</v>
      </c>
      <c r="E26" s="24"/>
      <c r="F26" s="24"/>
    </row>
    <row r="27" spans="1:6" ht="15" customHeight="1" x14ac:dyDescent="0.35">
      <c r="A27" s="24" t="s">
        <v>156</v>
      </c>
      <c r="B27" s="24" t="s">
        <v>157</v>
      </c>
      <c r="C27" s="24" t="s">
        <v>42</v>
      </c>
      <c r="D27" s="24" t="s">
        <v>158</v>
      </c>
      <c r="E27" s="24"/>
      <c r="F27" s="24"/>
    </row>
    <row r="28" spans="1:6" ht="15" customHeight="1" x14ac:dyDescent="0.35">
      <c r="A28" s="24" t="s">
        <v>159</v>
      </c>
      <c r="B28" s="24" t="s">
        <v>160</v>
      </c>
      <c r="C28" s="24" t="s">
        <v>52</v>
      </c>
      <c r="D28" s="24" t="s">
        <v>161</v>
      </c>
      <c r="E28" s="24"/>
      <c r="F28" s="24"/>
    </row>
    <row r="29" spans="1:6" ht="15" customHeight="1" x14ac:dyDescent="0.35">
      <c r="A29" s="24" t="s">
        <v>162</v>
      </c>
      <c r="B29" s="24" t="s">
        <v>163</v>
      </c>
      <c r="C29" s="24" t="s">
        <v>55</v>
      </c>
      <c r="D29" s="24" t="s">
        <v>164</v>
      </c>
      <c r="E29" s="24"/>
      <c r="F29" s="24"/>
    </row>
    <row r="31" spans="1:6" ht="17.25" customHeight="1" x14ac:dyDescent="0.35">
      <c r="A31" s="22" t="s">
        <v>165</v>
      </c>
    </row>
    <row r="32" spans="1:6" ht="15" customHeight="1" x14ac:dyDescent="0.35">
      <c r="A32" s="25" t="s">
        <v>3</v>
      </c>
      <c r="B32" s="25" t="s">
        <v>5</v>
      </c>
      <c r="C32" s="25" t="s">
        <v>166</v>
      </c>
      <c r="D32" s="25" t="s">
        <v>167</v>
      </c>
      <c r="E32" s="25"/>
      <c r="F32" s="25"/>
    </row>
    <row r="33" spans="1:6" ht="15" customHeight="1" x14ac:dyDescent="0.35">
      <c r="A33" s="24" t="s">
        <v>26</v>
      </c>
      <c r="B33" s="24" t="s">
        <v>168</v>
      </c>
      <c r="C33" s="24" t="s">
        <v>169</v>
      </c>
      <c r="D33" s="24" t="s">
        <v>170</v>
      </c>
      <c r="E33" s="24"/>
      <c r="F33" s="24"/>
    </row>
    <row r="34" spans="1:6" ht="15" customHeight="1" x14ac:dyDescent="0.35">
      <c r="A34" s="24" t="s">
        <v>171</v>
      </c>
      <c r="B34" s="24" t="s">
        <v>172</v>
      </c>
      <c r="C34" s="24" t="s">
        <v>173</v>
      </c>
      <c r="D34" s="24" t="s">
        <v>173</v>
      </c>
      <c r="E34" s="24"/>
      <c r="F34" s="24"/>
    </row>
    <row r="35" spans="1:6" ht="15" customHeight="1" x14ac:dyDescent="0.35">
      <c r="A35" s="24" t="s">
        <v>174</v>
      </c>
      <c r="B35" s="24" t="s">
        <v>175</v>
      </c>
      <c r="C35" s="24" t="s">
        <v>169</v>
      </c>
      <c r="D35" s="24" t="s">
        <v>169</v>
      </c>
      <c r="E35" s="24"/>
      <c r="F35" s="24"/>
    </row>
    <row r="36" spans="1:6" ht="15" customHeight="1" x14ac:dyDescent="0.35">
      <c r="A36" s="24" t="s">
        <v>48</v>
      </c>
      <c r="B36" s="24" t="s">
        <v>176</v>
      </c>
      <c r="C36" s="24" t="s">
        <v>169</v>
      </c>
      <c r="D36" s="24" t="s">
        <v>173</v>
      </c>
      <c r="E36" s="24"/>
      <c r="F36" s="24"/>
    </row>
    <row r="37" spans="1:6" ht="15" customHeight="1" x14ac:dyDescent="0.35">
      <c r="A37" s="24" t="s">
        <v>58</v>
      </c>
      <c r="B37" s="24" t="s">
        <v>177</v>
      </c>
      <c r="C37" s="24" t="s">
        <v>178</v>
      </c>
      <c r="D37" s="24" t="s">
        <v>169</v>
      </c>
      <c r="E37" s="24"/>
      <c r="F37" s="24"/>
    </row>
    <row r="38" spans="1:6" ht="15" customHeight="1" x14ac:dyDescent="0.35">
      <c r="A38" s="24" t="s">
        <v>179</v>
      </c>
      <c r="B38" s="24" t="s">
        <v>180</v>
      </c>
      <c r="C38" s="24" t="s">
        <v>173</v>
      </c>
      <c r="D38" s="24" t="s">
        <v>169</v>
      </c>
      <c r="E38" s="24"/>
      <c r="F38" s="24"/>
    </row>
    <row r="39" spans="1:6" ht="15" customHeight="1" x14ac:dyDescent="0.35">
      <c r="A39" s="24" t="s">
        <v>65</v>
      </c>
      <c r="B39" s="24" t="s">
        <v>181</v>
      </c>
      <c r="C39" s="24" t="s">
        <v>173</v>
      </c>
      <c r="D39" s="24" t="s">
        <v>173</v>
      </c>
      <c r="E39" s="24"/>
      <c r="F39" s="24"/>
    </row>
    <row r="40" spans="1:6" ht="15" customHeight="1" x14ac:dyDescent="0.35">
      <c r="A40" s="24" t="s">
        <v>182</v>
      </c>
      <c r="B40" s="24" t="s">
        <v>183</v>
      </c>
      <c r="C40" s="24" t="s">
        <v>170</v>
      </c>
      <c r="D40" s="24" t="s">
        <v>170</v>
      </c>
      <c r="E40" s="24"/>
      <c r="F40" s="24"/>
    </row>
    <row r="41" spans="1:6" ht="15" customHeight="1" x14ac:dyDescent="0.35">
      <c r="A41" s="24" t="s">
        <v>184</v>
      </c>
      <c r="B41" s="24" t="s">
        <v>185</v>
      </c>
      <c r="C41" s="24" t="s">
        <v>170</v>
      </c>
      <c r="D41" s="24" t="s">
        <v>169</v>
      </c>
      <c r="E41" s="24"/>
      <c r="F41" s="24"/>
    </row>
    <row r="42" spans="1:6" ht="15" customHeight="1" x14ac:dyDescent="0.35">
      <c r="A42" s="24" t="s">
        <v>61</v>
      </c>
      <c r="B42" s="24" t="s">
        <v>186</v>
      </c>
      <c r="C42" s="24" t="s">
        <v>169</v>
      </c>
      <c r="D42" s="24" t="s">
        <v>173</v>
      </c>
      <c r="E42" s="24"/>
      <c r="F42" s="24"/>
    </row>
  </sheetData>
  <sheetProtection algorithmName="SHA-512" hashValue="RVXULGJXAd7pIWIrKSY23KLYtWb+2SmOyY3hBoNoyLyBxoX7qPhTieBlnTFpaijVG35ER0xswyIYBieKWDFHVQ==" saltValue="+/p/FsSEsp39B939jB1DHQ==" spinCount="100000" sheet="1" objects="1" scenarios="1"/>
  <mergeCells count="2">
    <mergeCell ref="A1:F1"/>
    <mergeCell ref="A2:F2"/>
  </mergeCells>
  <hyperlinks>
    <hyperlink ref="H1" location="DMC_NAVIGATION!A1" display="🏠 Back to Home" xr:uid="{00000000-0004-0000-01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49"/>
  <sheetViews>
    <sheetView zoomScaleNormal="100" workbookViewId="0">
      <pane ySplit="3" topLeftCell="A40" activePane="bottomLeft" state="frozen"/>
      <selection pane="bottomLeft" sqref="A1:F49"/>
    </sheetView>
  </sheetViews>
  <sheetFormatPr defaultColWidth="8.6328125" defaultRowHeight="14.5" x14ac:dyDescent="0.35"/>
  <cols>
    <col min="1" max="1" width="50" style="2" customWidth="1"/>
    <col min="2" max="4" width="10" style="2" customWidth="1"/>
    <col min="5" max="5" width="14" style="2" customWidth="1"/>
    <col min="6" max="6" width="17" style="2" customWidth="1"/>
    <col min="7" max="7" width="2" style="2" customWidth="1"/>
    <col min="8" max="8" width="17.453125" style="2" bestFit="1" customWidth="1"/>
    <col min="9" max="9" width="8.6328125" style="2"/>
    <col min="10" max="10" width="18" style="2" customWidth="1"/>
    <col min="11" max="16384" width="8.6328125" style="2"/>
  </cols>
  <sheetData>
    <row r="1" spans="1:10" ht="25.5" customHeight="1" x14ac:dyDescent="0.35">
      <c r="A1" s="26" t="s">
        <v>187</v>
      </c>
      <c r="B1" s="26"/>
      <c r="C1" s="26"/>
      <c r="D1" s="26"/>
      <c r="E1" s="26"/>
      <c r="F1" s="26"/>
      <c r="H1" s="27" t="s">
        <v>88</v>
      </c>
      <c r="J1" s="28"/>
    </row>
    <row r="2" spans="1:10" ht="19.5" customHeight="1" x14ac:dyDescent="0.35">
      <c r="A2" s="29" t="s">
        <v>188</v>
      </c>
      <c r="B2" s="29"/>
      <c r="C2" s="29"/>
      <c r="D2" s="29"/>
      <c r="E2" s="29"/>
      <c r="F2" s="29"/>
    </row>
    <row r="3" spans="1:10" ht="31.5" customHeight="1" x14ac:dyDescent="0.35">
      <c r="A3" s="30" t="s">
        <v>189</v>
      </c>
      <c r="B3" s="30" t="s">
        <v>190</v>
      </c>
      <c r="C3" s="30" t="s">
        <v>191</v>
      </c>
      <c r="D3" s="30" t="s">
        <v>192</v>
      </c>
      <c r="E3" s="30" t="s">
        <v>193</v>
      </c>
      <c r="F3" s="30" t="s">
        <v>194</v>
      </c>
      <c r="G3" s="31"/>
      <c r="H3" s="31"/>
    </row>
    <row r="4" spans="1:10" ht="18" customHeight="1" x14ac:dyDescent="0.35">
      <c r="A4" s="2" t="s">
        <v>195</v>
      </c>
      <c r="B4" s="2">
        <v>48.85</v>
      </c>
      <c r="C4" s="2">
        <v>53.1</v>
      </c>
      <c r="D4" s="2">
        <v>61.9</v>
      </c>
      <c r="E4" s="2" t="s">
        <v>196</v>
      </c>
      <c r="F4" s="2" t="s">
        <v>197</v>
      </c>
    </row>
    <row r="5" spans="1:10" ht="18" customHeight="1" x14ac:dyDescent="0.35">
      <c r="A5" s="2" t="s">
        <v>198</v>
      </c>
      <c r="B5" s="2">
        <v>48.9</v>
      </c>
      <c r="C5" s="2">
        <v>53.05</v>
      </c>
      <c r="D5" s="2">
        <v>61.85</v>
      </c>
      <c r="E5" s="2" t="s">
        <v>196</v>
      </c>
      <c r="F5" s="2" t="s">
        <v>197</v>
      </c>
    </row>
    <row r="6" spans="1:10" ht="18" customHeight="1" x14ac:dyDescent="0.35">
      <c r="A6" s="2" t="s">
        <v>199</v>
      </c>
      <c r="B6" s="2">
        <v>48.92</v>
      </c>
      <c r="C6" s="2">
        <v>53.2</v>
      </c>
      <c r="D6" s="2">
        <v>62</v>
      </c>
      <c r="E6" s="2" t="s">
        <v>196</v>
      </c>
      <c r="F6" s="2" t="s">
        <v>197</v>
      </c>
    </row>
    <row r="7" spans="1:10" ht="18" customHeight="1" x14ac:dyDescent="0.35">
      <c r="A7" s="2" t="s">
        <v>200</v>
      </c>
      <c r="B7" s="2">
        <v>48.95</v>
      </c>
      <c r="C7" s="2">
        <v>53.15</v>
      </c>
      <c r="D7" s="2">
        <v>61.95</v>
      </c>
      <c r="E7" s="2" t="s">
        <v>196</v>
      </c>
      <c r="F7" s="2" t="s">
        <v>197</v>
      </c>
    </row>
    <row r="8" spans="1:10" ht="18" customHeight="1" x14ac:dyDescent="0.35">
      <c r="A8" s="2" t="s">
        <v>201</v>
      </c>
      <c r="B8" s="2">
        <v>49</v>
      </c>
      <c r="C8" s="2">
        <v>53.3</v>
      </c>
      <c r="D8" s="2">
        <v>62.1</v>
      </c>
      <c r="E8" s="2" t="s">
        <v>196</v>
      </c>
      <c r="F8" s="2" t="s">
        <v>197</v>
      </c>
    </row>
    <row r="9" spans="1:10" ht="18" customHeight="1" x14ac:dyDescent="0.35">
      <c r="A9" s="2" t="s">
        <v>202</v>
      </c>
      <c r="B9" s="2">
        <v>49.05</v>
      </c>
      <c r="C9" s="2">
        <v>53.25</v>
      </c>
      <c r="D9" s="2">
        <v>62.05</v>
      </c>
      <c r="E9" s="2" t="s">
        <v>196</v>
      </c>
      <c r="F9" s="2" t="s">
        <v>197</v>
      </c>
    </row>
    <row r="10" spans="1:10" ht="18" customHeight="1" x14ac:dyDescent="0.35">
      <c r="A10" s="2" t="s">
        <v>203</v>
      </c>
      <c r="B10" s="2">
        <v>49.1</v>
      </c>
      <c r="C10" s="2">
        <v>53.4</v>
      </c>
      <c r="D10" s="2">
        <v>62.2</v>
      </c>
      <c r="E10" s="2" t="s">
        <v>196</v>
      </c>
      <c r="F10" s="2" t="s">
        <v>197</v>
      </c>
    </row>
    <row r="11" spans="1:10" ht="18" customHeight="1" x14ac:dyDescent="0.35">
      <c r="A11" s="2" t="s">
        <v>204</v>
      </c>
      <c r="B11" s="2">
        <v>49.08</v>
      </c>
      <c r="C11" s="2">
        <v>53.35</v>
      </c>
      <c r="D11" s="2">
        <v>62.15</v>
      </c>
      <c r="E11" s="2" t="s">
        <v>196</v>
      </c>
      <c r="F11" s="2" t="s">
        <v>197</v>
      </c>
    </row>
    <row r="12" spans="1:10" ht="18" customHeight="1" x14ac:dyDescent="0.35">
      <c r="A12" s="2" t="s">
        <v>205</v>
      </c>
      <c r="B12" s="2">
        <v>49.12</v>
      </c>
      <c r="C12" s="2">
        <v>53.45</v>
      </c>
      <c r="D12" s="2">
        <v>62.25</v>
      </c>
      <c r="E12" s="2" t="s">
        <v>196</v>
      </c>
      <c r="F12" s="2" t="s">
        <v>197</v>
      </c>
    </row>
    <row r="13" spans="1:10" ht="18" customHeight="1" x14ac:dyDescent="0.35">
      <c r="A13" s="2" t="s">
        <v>206</v>
      </c>
      <c r="B13" s="2">
        <v>49.15</v>
      </c>
      <c r="C13" s="2">
        <v>53.5</v>
      </c>
      <c r="D13" s="2">
        <v>62.3</v>
      </c>
      <c r="E13" s="2" t="s">
        <v>196</v>
      </c>
      <c r="F13" s="2" t="s">
        <v>197</v>
      </c>
    </row>
    <row r="14" spans="1:10" ht="18" customHeight="1" x14ac:dyDescent="0.35">
      <c r="A14" s="2" t="s">
        <v>207</v>
      </c>
      <c r="B14" s="2">
        <v>49.05</v>
      </c>
      <c r="C14" s="2">
        <v>53.7</v>
      </c>
      <c r="D14" s="2">
        <v>62.4</v>
      </c>
      <c r="E14" s="2" t="s">
        <v>196</v>
      </c>
      <c r="F14" s="2" t="s">
        <v>197</v>
      </c>
    </row>
    <row r="15" spans="1:10" ht="18" customHeight="1" x14ac:dyDescent="0.35">
      <c r="A15" s="2" t="s">
        <v>208</v>
      </c>
      <c r="B15" s="2">
        <v>49.1</v>
      </c>
      <c r="C15" s="2">
        <v>53.8</v>
      </c>
      <c r="D15" s="2">
        <v>62.55</v>
      </c>
      <c r="E15" s="2" t="s">
        <v>196</v>
      </c>
      <c r="F15" s="2" t="s">
        <v>197</v>
      </c>
    </row>
    <row r="16" spans="1:10" ht="18" customHeight="1" x14ac:dyDescent="0.35">
      <c r="A16" s="2" t="s">
        <v>209</v>
      </c>
      <c r="B16" s="2">
        <v>49.12</v>
      </c>
      <c r="C16" s="2">
        <v>53.85</v>
      </c>
      <c r="D16" s="2">
        <v>62.6</v>
      </c>
      <c r="E16" s="2" t="s">
        <v>196</v>
      </c>
      <c r="F16" s="2" t="s">
        <v>197</v>
      </c>
    </row>
    <row r="17" spans="1:6" ht="18" customHeight="1" x14ac:dyDescent="0.35">
      <c r="A17" s="2" t="s">
        <v>210</v>
      </c>
      <c r="B17" s="2">
        <v>49.15</v>
      </c>
      <c r="C17" s="2">
        <v>53.9</v>
      </c>
      <c r="D17" s="2">
        <v>62.65</v>
      </c>
      <c r="E17" s="2" t="s">
        <v>196</v>
      </c>
      <c r="F17" s="2" t="s">
        <v>197</v>
      </c>
    </row>
    <row r="18" spans="1:6" ht="18" customHeight="1" x14ac:dyDescent="0.35">
      <c r="A18" s="2" t="s">
        <v>211</v>
      </c>
      <c r="B18" s="2">
        <v>49.18</v>
      </c>
      <c r="C18" s="2">
        <v>53.95</v>
      </c>
      <c r="D18" s="2">
        <v>62.7</v>
      </c>
      <c r="E18" s="2" t="s">
        <v>196</v>
      </c>
      <c r="F18" s="2" t="s">
        <v>197</v>
      </c>
    </row>
    <row r="19" spans="1:6" ht="18" customHeight="1" x14ac:dyDescent="0.35">
      <c r="A19" s="2" t="s">
        <v>212</v>
      </c>
      <c r="B19" s="2">
        <v>49.3</v>
      </c>
      <c r="C19" s="2">
        <v>54.2</v>
      </c>
      <c r="D19" s="2">
        <v>63.1</v>
      </c>
      <c r="E19" s="2" t="s">
        <v>196</v>
      </c>
      <c r="F19" s="2" t="s">
        <v>197</v>
      </c>
    </row>
    <row r="20" spans="1:6" ht="18" customHeight="1" x14ac:dyDescent="0.35">
      <c r="A20" s="2" t="s">
        <v>213</v>
      </c>
      <c r="B20" s="2">
        <v>49.35</v>
      </c>
      <c r="C20" s="2">
        <v>54.35</v>
      </c>
      <c r="D20" s="2">
        <v>63.25</v>
      </c>
      <c r="E20" s="2" t="s">
        <v>196</v>
      </c>
      <c r="F20" s="2" t="s">
        <v>197</v>
      </c>
    </row>
    <row r="21" spans="1:6" ht="18" customHeight="1" x14ac:dyDescent="0.35">
      <c r="A21" s="2" t="s">
        <v>214</v>
      </c>
      <c r="B21" s="2">
        <v>49.4</v>
      </c>
      <c r="C21" s="2">
        <v>54.4</v>
      </c>
      <c r="D21" s="2">
        <v>63.3</v>
      </c>
      <c r="E21" s="2" t="s">
        <v>196</v>
      </c>
      <c r="F21" s="2" t="s">
        <v>197</v>
      </c>
    </row>
    <row r="22" spans="1:6" ht="18" customHeight="1" x14ac:dyDescent="0.35">
      <c r="A22" s="2" t="s">
        <v>215</v>
      </c>
      <c r="B22" s="2">
        <v>49.08</v>
      </c>
      <c r="C22" s="2">
        <v>53.55</v>
      </c>
      <c r="D22" s="2">
        <v>62.35</v>
      </c>
      <c r="E22" s="2" t="s">
        <v>196</v>
      </c>
      <c r="F22" s="2" t="s">
        <v>197</v>
      </c>
    </row>
    <row r="23" spans="1:6" ht="18" customHeight="1" x14ac:dyDescent="0.35">
      <c r="A23" s="2" t="s">
        <v>216</v>
      </c>
      <c r="B23" s="2">
        <v>49.06</v>
      </c>
      <c r="C23" s="2">
        <v>53.6</v>
      </c>
      <c r="D23" s="2">
        <v>62.38</v>
      </c>
      <c r="E23" s="2" t="s">
        <v>196</v>
      </c>
      <c r="F23" s="2" t="s">
        <v>197</v>
      </c>
    </row>
    <row r="24" spans="1:6" ht="18" customHeight="1" x14ac:dyDescent="0.35">
      <c r="A24" s="2" t="s">
        <v>217</v>
      </c>
      <c r="B24" s="2">
        <v>49.05</v>
      </c>
      <c r="C24" s="2">
        <v>53.65</v>
      </c>
      <c r="D24" s="2">
        <v>62.39</v>
      </c>
      <c r="E24" s="2" t="s">
        <v>196</v>
      </c>
      <c r="F24" s="2" t="s">
        <v>197</v>
      </c>
    </row>
    <row r="25" spans="1:6" ht="18" customHeight="1" x14ac:dyDescent="0.35">
      <c r="A25" s="2" t="s">
        <v>218</v>
      </c>
      <c r="B25" s="2">
        <v>49.2</v>
      </c>
      <c r="C25" s="2">
        <v>54</v>
      </c>
      <c r="D25" s="2">
        <v>62.85</v>
      </c>
      <c r="E25" s="2" t="s">
        <v>196</v>
      </c>
      <c r="F25" s="2" t="s">
        <v>197</v>
      </c>
    </row>
    <row r="26" spans="1:6" ht="18" customHeight="1" x14ac:dyDescent="0.35">
      <c r="A26" s="2" t="s">
        <v>219</v>
      </c>
      <c r="B26" s="2">
        <v>49.23</v>
      </c>
      <c r="C26" s="2">
        <v>54.05</v>
      </c>
      <c r="D26" s="2">
        <v>62.9</v>
      </c>
      <c r="E26" s="2" t="s">
        <v>196</v>
      </c>
      <c r="F26" s="2" t="s">
        <v>197</v>
      </c>
    </row>
    <row r="27" spans="1:6" ht="18" customHeight="1" x14ac:dyDescent="0.35">
      <c r="A27" s="2" t="s">
        <v>220</v>
      </c>
      <c r="B27" s="2">
        <v>49.26</v>
      </c>
      <c r="C27" s="2">
        <v>54.1</v>
      </c>
      <c r="D27" s="2">
        <v>62.95</v>
      </c>
      <c r="E27" s="2" t="s">
        <v>196</v>
      </c>
      <c r="F27" s="2" t="s">
        <v>197</v>
      </c>
    </row>
    <row r="28" spans="1:6" ht="18" customHeight="1" x14ac:dyDescent="0.35">
      <c r="A28" s="2" t="s">
        <v>221</v>
      </c>
      <c r="B28" s="2">
        <v>49.32</v>
      </c>
      <c r="C28" s="2">
        <v>54.25</v>
      </c>
      <c r="D28" s="2">
        <v>63.15</v>
      </c>
      <c r="E28" s="2" t="s">
        <v>196</v>
      </c>
      <c r="F28" s="2" t="s">
        <v>197</v>
      </c>
    </row>
    <row r="29" spans="1:6" ht="18" customHeight="1" x14ac:dyDescent="0.35">
      <c r="A29" s="2" t="s">
        <v>222</v>
      </c>
      <c r="B29" s="2">
        <v>49.42</v>
      </c>
      <c r="C29" s="2">
        <v>54.45</v>
      </c>
      <c r="D29" s="2">
        <v>63.35</v>
      </c>
      <c r="E29" s="2" t="s">
        <v>196</v>
      </c>
      <c r="F29" s="2" t="s">
        <v>197</v>
      </c>
    </row>
    <row r="30" spans="1:6" ht="18" customHeight="1" x14ac:dyDescent="0.35">
      <c r="A30" s="2" t="s">
        <v>223</v>
      </c>
      <c r="B30" s="2">
        <v>49.45</v>
      </c>
      <c r="C30" s="2">
        <v>54.5</v>
      </c>
      <c r="D30" s="2">
        <v>63.4</v>
      </c>
      <c r="E30" s="2" t="s">
        <v>196</v>
      </c>
      <c r="F30" s="2" t="s">
        <v>197</v>
      </c>
    </row>
    <row r="31" spans="1:6" ht="18" customHeight="1" x14ac:dyDescent="0.35">
      <c r="A31" s="2" t="s">
        <v>224</v>
      </c>
      <c r="B31" s="2">
        <v>49.48</v>
      </c>
      <c r="C31" s="2">
        <v>54.55</v>
      </c>
      <c r="D31" s="2">
        <v>63.45</v>
      </c>
      <c r="E31" s="2" t="s">
        <v>196</v>
      </c>
      <c r="F31" s="2" t="s">
        <v>197</v>
      </c>
    </row>
    <row r="32" spans="1:6" ht="18" customHeight="1" x14ac:dyDescent="0.35">
      <c r="A32" s="2" t="s">
        <v>225</v>
      </c>
      <c r="B32" s="2">
        <v>49.5</v>
      </c>
      <c r="C32" s="2">
        <v>54.6</v>
      </c>
      <c r="D32" s="2">
        <v>63.5</v>
      </c>
      <c r="E32" s="2" t="s">
        <v>196</v>
      </c>
      <c r="F32" s="2" t="s">
        <v>197</v>
      </c>
    </row>
    <row r="33" spans="1:6" ht="18" customHeight="1" x14ac:dyDescent="0.35">
      <c r="A33" s="2" t="s">
        <v>226</v>
      </c>
      <c r="B33" s="2">
        <v>49.52</v>
      </c>
      <c r="C33" s="2">
        <v>54.65</v>
      </c>
      <c r="D33" s="2">
        <v>63.55</v>
      </c>
      <c r="E33" s="2" t="s">
        <v>196</v>
      </c>
      <c r="F33" s="2" t="s">
        <v>197</v>
      </c>
    </row>
    <row r="34" spans="1:6" ht="18" customHeight="1" x14ac:dyDescent="0.35">
      <c r="A34" s="2" t="s">
        <v>227</v>
      </c>
      <c r="B34" s="2">
        <v>49.55</v>
      </c>
      <c r="C34" s="2">
        <v>54.7</v>
      </c>
      <c r="D34" s="2">
        <v>63.6</v>
      </c>
      <c r="E34" s="2" t="s">
        <v>196</v>
      </c>
      <c r="F34" s="2" t="s">
        <v>197</v>
      </c>
    </row>
    <row r="35" spans="1:6" ht="18" customHeight="1" x14ac:dyDescent="0.35">
      <c r="A35" s="2" t="s">
        <v>228</v>
      </c>
      <c r="B35" s="2">
        <v>49.58</v>
      </c>
      <c r="C35" s="2">
        <v>54.75</v>
      </c>
      <c r="D35" s="2">
        <v>63.65</v>
      </c>
      <c r="E35" s="2" t="s">
        <v>196</v>
      </c>
      <c r="F35" s="2" t="s">
        <v>197</v>
      </c>
    </row>
    <row r="36" spans="1:6" ht="18" customHeight="1" x14ac:dyDescent="0.35">
      <c r="A36" s="2" t="s">
        <v>229</v>
      </c>
      <c r="B36" s="2">
        <v>49.6</v>
      </c>
      <c r="C36" s="2">
        <v>54.8</v>
      </c>
      <c r="D36" s="2">
        <v>63.7</v>
      </c>
      <c r="E36" s="2" t="s">
        <v>196</v>
      </c>
      <c r="F36" s="2" t="s">
        <v>197</v>
      </c>
    </row>
    <row r="37" spans="1:6" ht="18" customHeight="1" x14ac:dyDescent="0.35">
      <c r="A37" s="2" t="s">
        <v>230</v>
      </c>
      <c r="B37" s="2">
        <v>49.62</v>
      </c>
      <c r="C37" s="2">
        <v>54.85</v>
      </c>
      <c r="D37" s="2">
        <v>63.75</v>
      </c>
      <c r="E37" s="2" t="s">
        <v>196</v>
      </c>
      <c r="F37" s="2" t="s">
        <v>197</v>
      </c>
    </row>
    <row r="38" spans="1:6" ht="18" customHeight="1" x14ac:dyDescent="0.35">
      <c r="A38" s="2" t="s">
        <v>231</v>
      </c>
      <c r="B38" s="2">
        <v>49.65</v>
      </c>
      <c r="C38" s="2">
        <v>54.9</v>
      </c>
      <c r="D38" s="2">
        <v>63.8</v>
      </c>
      <c r="E38" s="2" t="s">
        <v>196</v>
      </c>
      <c r="F38" s="2" t="s">
        <v>197</v>
      </c>
    </row>
    <row r="39" spans="1:6" ht="18" customHeight="1" x14ac:dyDescent="0.35">
      <c r="A39" s="2" t="s">
        <v>232</v>
      </c>
      <c r="B39" s="2">
        <v>49.68</v>
      </c>
      <c r="C39" s="2">
        <v>54.95</v>
      </c>
      <c r="D39" s="2">
        <v>63.85</v>
      </c>
      <c r="E39" s="2" t="s">
        <v>196</v>
      </c>
      <c r="F39" s="2" t="s">
        <v>197</v>
      </c>
    </row>
    <row r="40" spans="1:6" ht="18" customHeight="1" x14ac:dyDescent="0.35">
      <c r="A40" s="2" t="s">
        <v>233</v>
      </c>
      <c r="B40" s="2">
        <v>49.7</v>
      </c>
      <c r="C40" s="2">
        <v>55</v>
      </c>
      <c r="D40" s="2">
        <v>63.9</v>
      </c>
      <c r="E40" s="2" t="s">
        <v>196</v>
      </c>
      <c r="F40" s="2" t="s">
        <v>197</v>
      </c>
    </row>
    <row r="41" spans="1:6" ht="18" customHeight="1" x14ac:dyDescent="0.35">
      <c r="A41" s="2" t="s">
        <v>234</v>
      </c>
      <c r="B41" s="2">
        <v>49.72</v>
      </c>
      <c r="C41" s="2">
        <v>55.05</v>
      </c>
      <c r="D41" s="2">
        <v>63.95</v>
      </c>
      <c r="E41" s="2" t="s">
        <v>196</v>
      </c>
      <c r="F41" s="2" t="s">
        <v>197</v>
      </c>
    </row>
    <row r="42" spans="1:6" ht="18" customHeight="1" x14ac:dyDescent="0.35">
      <c r="A42" s="2" t="s">
        <v>235</v>
      </c>
      <c r="B42" s="2">
        <v>49.75</v>
      </c>
      <c r="C42" s="2">
        <v>55.1</v>
      </c>
      <c r="D42" s="2">
        <v>64</v>
      </c>
      <c r="E42" s="2" t="s">
        <v>196</v>
      </c>
      <c r="F42" s="2" t="s">
        <v>197</v>
      </c>
    </row>
    <row r="43" spans="1:6" ht="18" customHeight="1" x14ac:dyDescent="0.35">
      <c r="A43" s="2" t="s">
        <v>236</v>
      </c>
      <c r="B43" s="2">
        <v>49.78</v>
      </c>
      <c r="C43" s="2">
        <v>55.15</v>
      </c>
      <c r="D43" s="2">
        <v>64.05</v>
      </c>
      <c r="E43" s="2" t="s">
        <v>196</v>
      </c>
      <c r="F43" s="2" t="s">
        <v>197</v>
      </c>
    </row>
    <row r="44" spans="1:6" ht="18" customHeight="1" x14ac:dyDescent="0.35">
      <c r="A44" s="2" t="s">
        <v>237</v>
      </c>
      <c r="B44" s="2">
        <v>49.8</v>
      </c>
      <c r="C44" s="2">
        <v>55.2</v>
      </c>
      <c r="D44" s="2">
        <v>64.099999999999994</v>
      </c>
      <c r="E44" s="2" t="s">
        <v>196</v>
      </c>
      <c r="F44" s="2" t="s">
        <v>197</v>
      </c>
    </row>
    <row r="45" spans="1:6" ht="18" customHeight="1" x14ac:dyDescent="0.35">
      <c r="A45" s="2" t="s">
        <v>238</v>
      </c>
      <c r="B45" s="2">
        <v>49.82</v>
      </c>
      <c r="C45" s="2">
        <v>55.25</v>
      </c>
      <c r="D45" s="2">
        <v>64.150000000000006</v>
      </c>
      <c r="E45" s="2" t="s">
        <v>196</v>
      </c>
      <c r="F45" s="2" t="s">
        <v>197</v>
      </c>
    </row>
    <row r="46" spans="1:6" ht="18" customHeight="1" x14ac:dyDescent="0.35">
      <c r="A46" s="2" t="s">
        <v>239</v>
      </c>
      <c r="B46" s="2">
        <v>49.85</v>
      </c>
      <c r="C46" s="2">
        <v>55.3</v>
      </c>
      <c r="D46" s="2">
        <v>64.2</v>
      </c>
      <c r="E46" s="2" t="s">
        <v>196</v>
      </c>
      <c r="F46" s="2" t="s">
        <v>197</v>
      </c>
    </row>
    <row r="47" spans="1:6" ht="18" customHeight="1" x14ac:dyDescent="0.35">
      <c r="A47" s="2" t="s">
        <v>240</v>
      </c>
      <c r="B47" s="2">
        <v>49.88</v>
      </c>
      <c r="C47" s="2">
        <v>55.35</v>
      </c>
      <c r="D47" s="2">
        <v>64.25</v>
      </c>
      <c r="E47" s="2" t="s">
        <v>196</v>
      </c>
      <c r="F47" s="2" t="s">
        <v>197</v>
      </c>
    </row>
    <row r="48" spans="1:6" ht="18" customHeight="1" x14ac:dyDescent="0.35">
      <c r="A48" s="2" t="s">
        <v>241</v>
      </c>
      <c r="B48" s="2">
        <v>49.9</v>
      </c>
      <c r="C48" s="2">
        <v>55.4</v>
      </c>
      <c r="D48" s="2">
        <v>64.3</v>
      </c>
      <c r="E48" s="2" t="s">
        <v>196</v>
      </c>
      <c r="F48" s="2" t="s">
        <v>197</v>
      </c>
    </row>
    <row r="49" spans="1:6" ht="18" customHeight="1" x14ac:dyDescent="0.35">
      <c r="A49" s="2" t="s">
        <v>242</v>
      </c>
      <c r="B49" s="2">
        <v>49.92</v>
      </c>
      <c r="C49" s="2">
        <v>55.45</v>
      </c>
      <c r="D49" s="2">
        <v>64.349999999999994</v>
      </c>
      <c r="E49" s="2" t="s">
        <v>196</v>
      </c>
      <c r="F49" s="2" t="s">
        <v>197</v>
      </c>
    </row>
  </sheetData>
  <sheetProtection algorithmName="SHA-512" hashValue="eglDXE+89UeZY5X9rymyYEJR3L+ZcnLtnUXo6y82ouAL1/hwtTej0g5JOGBOl9bgTP0IxXXJ43cg/xwqAQza1Q==" saltValue="XStVQnpHzM71otRmDo89mw==" spinCount="100000" sheet="1" objects="1" scenarios="1"/>
  <mergeCells count="2">
    <mergeCell ref="A1:F1"/>
    <mergeCell ref="A2:F2"/>
  </mergeCells>
  <hyperlinks>
    <hyperlink ref="H1" location="DMC_NAVIGATION!A1" display="🏠 Back to Home" xr:uid="{00000000-0004-0000-02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Q23"/>
  <sheetViews>
    <sheetView zoomScaleNormal="100" workbookViewId="0">
      <pane ySplit="3" topLeftCell="A8" activePane="bottomLeft" state="frozen"/>
      <selection pane="bottomLeft"/>
    </sheetView>
  </sheetViews>
  <sheetFormatPr defaultColWidth="8.6328125" defaultRowHeight="14.5" x14ac:dyDescent="0.35"/>
  <cols>
    <col min="1" max="1" width="40" style="2" customWidth="1"/>
    <col min="2" max="2" width="26" style="2" customWidth="1"/>
    <col min="3" max="3" width="15" style="2" customWidth="1"/>
    <col min="4" max="5" width="20" style="2" customWidth="1"/>
    <col min="6" max="6" width="31" style="2" customWidth="1"/>
    <col min="7" max="7" width="17" style="2" customWidth="1"/>
    <col min="8" max="8" width="20" style="2" customWidth="1"/>
    <col min="9" max="9" width="10" style="2" customWidth="1"/>
    <col min="10" max="10" width="18" style="2" customWidth="1"/>
    <col min="11" max="11" width="8" style="2" customWidth="1"/>
    <col min="12" max="12" width="16" style="2" customWidth="1"/>
    <col min="13" max="13" width="32" style="2" customWidth="1"/>
    <col min="14" max="16" width="8.6328125" style="2"/>
    <col min="17" max="17" width="16" style="2" customWidth="1"/>
    <col min="18" max="16384" width="8.6328125" style="2"/>
  </cols>
  <sheetData>
    <row r="1" spans="1:17" ht="25.5" customHeight="1" x14ac:dyDescent="0.35">
      <c r="A1" s="32" t="s">
        <v>243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Q1" s="27" t="s">
        <v>88</v>
      </c>
    </row>
    <row r="2" spans="1:17" ht="19.5" customHeight="1" x14ac:dyDescent="0.35">
      <c r="A2" s="29" t="s">
        <v>244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7" ht="31.5" customHeight="1" x14ac:dyDescent="0.35">
      <c r="A3" s="33" t="s">
        <v>245</v>
      </c>
      <c r="B3" s="33" t="s">
        <v>246</v>
      </c>
      <c r="C3" s="33" t="s">
        <v>247</v>
      </c>
      <c r="D3" s="33" t="s">
        <v>248</v>
      </c>
      <c r="E3" s="33" t="s">
        <v>249</v>
      </c>
      <c r="F3" s="33" t="s">
        <v>250</v>
      </c>
      <c r="G3" s="33" t="s">
        <v>251</v>
      </c>
      <c r="H3" s="33" t="s">
        <v>252</v>
      </c>
      <c r="I3" s="33" t="s">
        <v>253</v>
      </c>
      <c r="J3" s="33" t="s">
        <v>254</v>
      </c>
      <c r="K3" s="34" t="s">
        <v>255</v>
      </c>
      <c r="L3" s="33" t="s">
        <v>7</v>
      </c>
      <c r="M3" s="33" t="s">
        <v>256</v>
      </c>
      <c r="N3" s="33" t="s">
        <v>139</v>
      </c>
      <c r="O3" s="34" t="s">
        <v>257</v>
      </c>
    </row>
    <row r="4" spans="1:17" ht="90.75" customHeight="1" x14ac:dyDescent="0.35">
      <c r="A4" s="9" t="s">
        <v>258</v>
      </c>
      <c r="B4" s="9" t="s">
        <v>259</v>
      </c>
      <c r="C4" s="9" t="s">
        <v>260</v>
      </c>
      <c r="D4" s="9" t="s">
        <v>261</v>
      </c>
      <c r="E4" s="9" t="s">
        <v>262</v>
      </c>
      <c r="F4" s="9" t="s">
        <v>263</v>
      </c>
      <c r="G4" s="9" t="s">
        <v>264</v>
      </c>
      <c r="H4" s="35">
        <v>15</v>
      </c>
      <c r="I4" s="9" t="s">
        <v>265</v>
      </c>
      <c r="J4" s="9" t="s">
        <v>266</v>
      </c>
      <c r="K4" s="37" t="b">
        <f>FALSE()</f>
        <v>0</v>
      </c>
      <c r="L4" s="9" t="s">
        <v>267</v>
      </c>
      <c r="M4" s="9" t="s">
        <v>268</v>
      </c>
      <c r="N4" s="9" t="s">
        <v>269</v>
      </c>
    </row>
    <row r="5" spans="1:17" ht="90.75" customHeight="1" x14ac:dyDescent="0.35">
      <c r="A5" s="13" t="s">
        <v>270</v>
      </c>
      <c r="B5" s="13" t="s">
        <v>271</v>
      </c>
      <c r="C5" s="13" t="s">
        <v>272</v>
      </c>
      <c r="D5" s="13" t="s">
        <v>273</v>
      </c>
      <c r="E5" s="13" t="s">
        <v>274</v>
      </c>
      <c r="F5" s="13" t="s">
        <v>275</v>
      </c>
      <c r="G5" s="13" t="s">
        <v>276</v>
      </c>
      <c r="H5" s="36">
        <v>7</v>
      </c>
      <c r="I5" s="13" t="s">
        <v>277</v>
      </c>
      <c r="J5" s="13" t="s">
        <v>278</v>
      </c>
      <c r="K5" s="37" t="b">
        <f>FALSE()</f>
        <v>0</v>
      </c>
      <c r="L5" s="13" t="s">
        <v>267</v>
      </c>
      <c r="M5" s="13" t="s">
        <v>279</v>
      </c>
      <c r="N5" s="13" t="s">
        <v>280</v>
      </c>
    </row>
    <row r="6" spans="1:17" ht="102" customHeight="1" x14ac:dyDescent="0.35">
      <c r="A6" s="9" t="s">
        <v>281</v>
      </c>
      <c r="B6" s="9" t="s">
        <v>282</v>
      </c>
      <c r="C6" s="9" t="s">
        <v>272</v>
      </c>
      <c r="D6" s="9" t="s">
        <v>283</v>
      </c>
      <c r="E6" s="9" t="s">
        <v>284</v>
      </c>
      <c r="F6" s="9" t="s">
        <v>285</v>
      </c>
      <c r="G6" s="9" t="s">
        <v>286</v>
      </c>
      <c r="H6" s="35">
        <v>14</v>
      </c>
      <c r="I6" s="9" t="s">
        <v>265</v>
      </c>
      <c r="J6" s="9" t="s">
        <v>287</v>
      </c>
      <c r="K6" s="37" t="b">
        <f>FALSE()</f>
        <v>0</v>
      </c>
      <c r="L6" s="9" t="s">
        <v>267</v>
      </c>
      <c r="M6" s="9" t="s">
        <v>288</v>
      </c>
      <c r="N6" s="9" t="s">
        <v>289</v>
      </c>
    </row>
    <row r="7" spans="1:17" ht="102" customHeight="1" x14ac:dyDescent="0.35">
      <c r="A7" s="13" t="s">
        <v>290</v>
      </c>
      <c r="B7" s="13" t="s">
        <v>291</v>
      </c>
      <c r="C7" s="13" t="s">
        <v>260</v>
      </c>
      <c r="D7" s="13" t="s">
        <v>292</v>
      </c>
      <c r="E7" s="13" t="s">
        <v>293</v>
      </c>
      <c r="F7" s="13" t="s">
        <v>294</v>
      </c>
      <c r="G7" s="13" t="s">
        <v>295</v>
      </c>
      <c r="H7" s="36">
        <v>30</v>
      </c>
      <c r="I7" s="13" t="s">
        <v>265</v>
      </c>
      <c r="J7" s="13" t="s">
        <v>296</v>
      </c>
      <c r="K7" s="37" t="b">
        <f>FALSE()</f>
        <v>0</v>
      </c>
      <c r="L7" s="13" t="s">
        <v>267</v>
      </c>
      <c r="M7" s="13" t="s">
        <v>297</v>
      </c>
      <c r="N7" s="13" t="s">
        <v>298</v>
      </c>
    </row>
    <row r="8" spans="1:17" ht="90.75" customHeight="1" x14ac:dyDescent="0.35">
      <c r="A8" s="9" t="s">
        <v>299</v>
      </c>
      <c r="B8" s="9" t="s">
        <v>300</v>
      </c>
      <c r="C8" s="9" t="s">
        <v>272</v>
      </c>
      <c r="D8" s="9" t="s">
        <v>301</v>
      </c>
      <c r="E8" s="9" t="s">
        <v>302</v>
      </c>
      <c r="F8" s="9" t="s">
        <v>303</v>
      </c>
      <c r="G8" s="9" t="s">
        <v>304</v>
      </c>
      <c r="H8" s="35">
        <v>7</v>
      </c>
      <c r="I8" s="9" t="s">
        <v>277</v>
      </c>
      <c r="J8" s="9" t="s">
        <v>278</v>
      </c>
      <c r="K8" s="37" t="b">
        <f>FALSE()</f>
        <v>0</v>
      </c>
      <c r="L8" s="9" t="s">
        <v>267</v>
      </c>
      <c r="M8" s="9" t="s">
        <v>305</v>
      </c>
      <c r="N8" s="9" t="s">
        <v>306</v>
      </c>
    </row>
    <row r="9" spans="1:17" ht="102" customHeight="1" x14ac:dyDescent="0.35">
      <c r="A9" s="13" t="s">
        <v>307</v>
      </c>
      <c r="B9" s="13" t="s">
        <v>308</v>
      </c>
      <c r="C9" s="13" t="s">
        <v>272</v>
      </c>
      <c r="D9" s="13" t="s">
        <v>309</v>
      </c>
      <c r="E9" s="13" t="s">
        <v>310</v>
      </c>
      <c r="F9" s="13" t="s">
        <v>311</v>
      </c>
      <c r="G9" s="13" t="s">
        <v>312</v>
      </c>
      <c r="H9" s="36">
        <v>21</v>
      </c>
      <c r="I9" s="13" t="s">
        <v>313</v>
      </c>
      <c r="J9" s="13" t="s">
        <v>314</v>
      </c>
      <c r="K9" s="37" t="b">
        <f>FALSE()</f>
        <v>0</v>
      </c>
      <c r="L9" s="13" t="s">
        <v>267</v>
      </c>
      <c r="M9" s="13" t="s">
        <v>315</v>
      </c>
      <c r="N9" s="13" t="s">
        <v>316</v>
      </c>
    </row>
    <row r="10" spans="1:17" ht="113.25" customHeight="1" x14ac:dyDescent="0.35">
      <c r="A10" s="9" t="s">
        <v>317</v>
      </c>
      <c r="B10" s="9" t="s">
        <v>318</v>
      </c>
      <c r="C10" s="9" t="s">
        <v>272</v>
      </c>
      <c r="D10" s="9" t="s">
        <v>319</v>
      </c>
      <c r="E10" s="9" t="s">
        <v>320</v>
      </c>
      <c r="F10" s="9" t="s">
        <v>321</v>
      </c>
      <c r="G10" s="9" t="s">
        <v>322</v>
      </c>
      <c r="H10" s="35">
        <v>14</v>
      </c>
      <c r="I10" s="9" t="s">
        <v>265</v>
      </c>
      <c r="J10" s="9" t="s">
        <v>323</v>
      </c>
      <c r="K10" s="37" t="b">
        <f>FALSE()</f>
        <v>0</v>
      </c>
      <c r="L10" s="9" t="s">
        <v>267</v>
      </c>
      <c r="M10" s="9" t="s">
        <v>324</v>
      </c>
      <c r="N10" s="9" t="s">
        <v>325</v>
      </c>
    </row>
    <row r="11" spans="1:17" ht="90.75" customHeight="1" x14ac:dyDescent="0.35">
      <c r="A11" s="13" t="s">
        <v>326</v>
      </c>
      <c r="B11" s="13" t="s">
        <v>327</v>
      </c>
      <c r="C11" s="13" t="s">
        <v>260</v>
      </c>
      <c r="D11" s="13" t="s">
        <v>328</v>
      </c>
      <c r="E11" s="13" t="s">
        <v>329</v>
      </c>
      <c r="F11" s="13" t="s">
        <v>330</v>
      </c>
      <c r="G11" s="13" t="s">
        <v>331</v>
      </c>
      <c r="H11" s="36">
        <v>0</v>
      </c>
      <c r="I11" s="13" t="s">
        <v>277</v>
      </c>
      <c r="J11" s="13" t="s">
        <v>278</v>
      </c>
      <c r="K11" s="37" t="b">
        <f>FALSE()</f>
        <v>0</v>
      </c>
      <c r="L11" s="13" t="s">
        <v>267</v>
      </c>
      <c r="M11" s="13" t="s">
        <v>332</v>
      </c>
      <c r="N11" s="13" t="s">
        <v>333</v>
      </c>
    </row>
    <row r="12" spans="1:17" ht="90.75" customHeight="1" x14ac:dyDescent="0.35">
      <c r="A12" s="9" t="s">
        <v>334</v>
      </c>
      <c r="B12" s="9" t="s">
        <v>335</v>
      </c>
      <c r="C12" s="9" t="s">
        <v>336</v>
      </c>
      <c r="D12" s="9" t="s">
        <v>337</v>
      </c>
      <c r="E12" s="9" t="s">
        <v>338</v>
      </c>
      <c r="F12" s="9" t="s">
        <v>339</v>
      </c>
      <c r="G12" s="9" t="s">
        <v>340</v>
      </c>
      <c r="H12" s="35">
        <v>30</v>
      </c>
      <c r="I12" s="9" t="s">
        <v>265</v>
      </c>
      <c r="J12" s="9" t="s">
        <v>341</v>
      </c>
      <c r="K12" s="37" t="b">
        <f>FALSE()</f>
        <v>0</v>
      </c>
      <c r="L12" s="9" t="s">
        <v>267</v>
      </c>
      <c r="M12" s="9" t="s">
        <v>342</v>
      </c>
      <c r="N12" s="9" t="s">
        <v>343</v>
      </c>
    </row>
    <row r="13" spans="1:17" ht="102" customHeight="1" x14ac:dyDescent="0.35">
      <c r="A13" s="13" t="s">
        <v>344</v>
      </c>
      <c r="B13" s="13" t="s">
        <v>345</v>
      </c>
      <c r="C13" s="13" t="s">
        <v>272</v>
      </c>
      <c r="D13" s="13" t="s">
        <v>346</v>
      </c>
      <c r="E13" s="13" t="s">
        <v>347</v>
      </c>
      <c r="F13" s="13" t="s">
        <v>348</v>
      </c>
      <c r="G13" s="13" t="s">
        <v>349</v>
      </c>
      <c r="H13" s="36">
        <v>14</v>
      </c>
      <c r="I13" s="13" t="s">
        <v>313</v>
      </c>
      <c r="J13" s="13" t="s">
        <v>278</v>
      </c>
      <c r="K13" s="37" t="b">
        <f>FALSE()</f>
        <v>0</v>
      </c>
      <c r="L13" s="13" t="s">
        <v>267</v>
      </c>
      <c r="M13" s="13" t="s">
        <v>350</v>
      </c>
      <c r="N13" s="13" t="s">
        <v>351</v>
      </c>
    </row>
    <row r="14" spans="1:17" ht="18" customHeight="1" x14ac:dyDescent="0.35">
      <c r="A14" s="13" t="s">
        <v>352</v>
      </c>
      <c r="B14" s="13" t="s">
        <v>353</v>
      </c>
      <c r="C14" s="13" t="s">
        <v>354</v>
      </c>
      <c r="D14" s="13"/>
      <c r="E14" s="13"/>
      <c r="F14" s="13"/>
      <c r="G14" s="13"/>
      <c r="H14" s="36"/>
      <c r="I14" s="13"/>
      <c r="J14" s="13"/>
      <c r="L14" s="13"/>
      <c r="M14" s="13"/>
      <c r="N14" s="13"/>
      <c r="O14" s="2" t="s">
        <v>355</v>
      </c>
    </row>
    <row r="15" spans="1:17" ht="18" customHeight="1" x14ac:dyDescent="0.35">
      <c r="A15" s="13" t="s">
        <v>356</v>
      </c>
      <c r="B15" s="13" t="s">
        <v>357</v>
      </c>
      <c r="C15" s="13" t="s">
        <v>354</v>
      </c>
      <c r="D15" s="13"/>
      <c r="E15" s="13"/>
      <c r="F15" s="13"/>
      <c r="G15" s="13"/>
      <c r="H15" s="36"/>
      <c r="I15" s="13"/>
      <c r="J15" s="13"/>
      <c r="L15" s="13"/>
      <c r="M15" s="13"/>
      <c r="N15" s="13"/>
      <c r="O15" s="2" t="s">
        <v>358</v>
      </c>
    </row>
    <row r="16" spans="1:17" ht="18" customHeight="1" x14ac:dyDescent="0.35">
      <c r="A16" s="13" t="s">
        <v>359</v>
      </c>
      <c r="B16" s="13" t="s">
        <v>360</v>
      </c>
      <c r="C16" s="13" t="s">
        <v>354</v>
      </c>
      <c r="D16" s="13"/>
      <c r="E16" s="13"/>
      <c r="F16" s="13"/>
      <c r="G16" s="13"/>
      <c r="H16" s="36"/>
      <c r="I16" s="13"/>
      <c r="J16" s="13"/>
      <c r="L16" s="13"/>
      <c r="M16" s="13"/>
      <c r="N16" s="13"/>
      <c r="O16" s="2" t="s">
        <v>361</v>
      </c>
    </row>
    <row r="17" spans="1:15" ht="18" customHeight="1" x14ac:dyDescent="0.35">
      <c r="A17" s="13" t="s">
        <v>362</v>
      </c>
      <c r="B17" s="13" t="s">
        <v>363</v>
      </c>
      <c r="C17" s="13" t="s">
        <v>354</v>
      </c>
      <c r="D17" s="13"/>
      <c r="E17" s="13"/>
      <c r="F17" s="13"/>
      <c r="G17" s="13"/>
      <c r="H17" s="36"/>
      <c r="I17" s="13"/>
      <c r="J17" s="13"/>
      <c r="L17" s="13"/>
      <c r="M17" s="13"/>
      <c r="N17" s="13"/>
      <c r="O17" s="2" t="s">
        <v>364</v>
      </c>
    </row>
    <row r="18" spans="1:15" ht="18" customHeight="1" x14ac:dyDescent="0.35">
      <c r="A18" s="13" t="s">
        <v>365</v>
      </c>
      <c r="B18" s="13" t="s">
        <v>366</v>
      </c>
      <c r="C18" s="13" t="s">
        <v>354</v>
      </c>
      <c r="D18" s="13"/>
      <c r="E18" s="13"/>
      <c r="F18" s="13"/>
      <c r="G18" s="13"/>
      <c r="H18" s="36"/>
      <c r="I18" s="13"/>
      <c r="J18" s="13"/>
      <c r="L18" s="13"/>
      <c r="M18" s="13"/>
      <c r="N18" s="13"/>
      <c r="O18" s="2" t="s">
        <v>367</v>
      </c>
    </row>
    <row r="19" spans="1:15" ht="18" customHeight="1" x14ac:dyDescent="0.35">
      <c r="A19" s="13" t="s">
        <v>368</v>
      </c>
      <c r="B19" s="13" t="s">
        <v>369</v>
      </c>
      <c r="C19" s="13" t="s">
        <v>354</v>
      </c>
      <c r="D19" s="13"/>
      <c r="E19" s="13"/>
      <c r="F19" s="13"/>
      <c r="G19" s="13"/>
      <c r="H19" s="36"/>
      <c r="I19" s="13"/>
      <c r="J19" s="13"/>
      <c r="L19" s="13"/>
      <c r="M19" s="13"/>
      <c r="N19" s="13"/>
      <c r="O19" s="2" t="s">
        <v>370</v>
      </c>
    </row>
    <row r="20" spans="1:15" ht="18" customHeight="1" x14ac:dyDescent="0.35">
      <c r="A20" s="13" t="s">
        <v>371</v>
      </c>
      <c r="B20" s="13" t="s">
        <v>372</v>
      </c>
      <c r="C20" s="13" t="s">
        <v>354</v>
      </c>
      <c r="D20" s="13"/>
      <c r="E20" s="13"/>
      <c r="F20" s="13"/>
      <c r="G20" s="13"/>
      <c r="H20" s="36"/>
      <c r="I20" s="13"/>
      <c r="J20" s="13"/>
      <c r="L20" s="13"/>
      <c r="M20" s="13"/>
      <c r="N20" s="13"/>
      <c r="O20" s="2" t="s">
        <v>373</v>
      </c>
    </row>
    <row r="21" spans="1:15" ht="18" customHeight="1" x14ac:dyDescent="0.35">
      <c r="A21" s="13" t="s">
        <v>374</v>
      </c>
      <c r="B21" s="13" t="s">
        <v>375</v>
      </c>
      <c r="C21" s="13" t="s">
        <v>354</v>
      </c>
      <c r="D21" s="13"/>
      <c r="E21" s="13"/>
      <c r="F21" s="13"/>
      <c r="G21" s="13"/>
      <c r="H21" s="36"/>
      <c r="I21" s="13"/>
      <c r="J21" s="13"/>
      <c r="L21" s="13"/>
      <c r="M21" s="13"/>
      <c r="N21" s="13"/>
      <c r="O21" s="2" t="s">
        <v>376</v>
      </c>
    </row>
    <row r="22" spans="1:15" ht="18" customHeight="1" x14ac:dyDescent="0.35">
      <c r="A22" s="9" t="s">
        <v>377</v>
      </c>
      <c r="B22" s="9" t="s">
        <v>378</v>
      </c>
      <c r="C22" s="9" t="s">
        <v>354</v>
      </c>
      <c r="D22" s="9"/>
      <c r="E22" s="9"/>
      <c r="F22" s="9"/>
      <c r="G22" s="9"/>
      <c r="H22" s="35"/>
      <c r="I22" s="9"/>
      <c r="J22" s="9"/>
      <c r="L22" s="9"/>
      <c r="M22" s="9"/>
      <c r="N22" s="9"/>
      <c r="O22" s="2" t="s">
        <v>379</v>
      </c>
    </row>
    <row r="23" spans="1:15" ht="18" customHeight="1" x14ac:dyDescent="0.35">
      <c r="A23" s="9" t="s">
        <v>380</v>
      </c>
      <c r="B23" s="9" t="s">
        <v>381</v>
      </c>
      <c r="C23" s="9" t="s">
        <v>354</v>
      </c>
      <c r="D23" s="9"/>
      <c r="E23" s="9"/>
      <c r="F23" s="9"/>
      <c r="G23" s="9"/>
      <c r="H23" s="35"/>
      <c r="I23" s="9"/>
      <c r="J23" s="9"/>
      <c r="L23" s="9"/>
      <c r="M23" s="9"/>
      <c r="N23" s="9"/>
      <c r="O23" s="2" t="s">
        <v>382</v>
      </c>
    </row>
  </sheetData>
  <sheetProtection algorithmName="SHA-512" hashValue="AtWBrYSx+BDIhzUbe36TVv9rwhq1I1iUUUARSnUhJuo79+2Jjx9k5DJMYng14esg6+nvl4fNM3VYqYr/fdnJng==" saltValue="MEVE0CQDJ5n1Wo9pEHDQMw==" spinCount="100000" sheet="1" objects="1" scenarios="1"/>
  <mergeCells count="2">
    <mergeCell ref="A1:O1"/>
    <mergeCell ref="A2:O2"/>
  </mergeCells>
  <dataValidations count="3">
    <dataValidation type="list" sqref="C4:C100" xr:uid="{00000000-0002-0000-0300-000000000000}">
      <formula1>"Transport,Excursion,Retail,Other"</formula1>
      <formula2>0</formula2>
    </dataValidation>
    <dataValidation type="list" sqref="K4:K100" xr:uid="{00000000-0002-0000-0300-000001000000}">
      <formula1>"Active,Inactive,On Hold,Blacklisted"</formula1>
      <formula2>0</formula2>
    </dataValidation>
    <dataValidation type="list" sqref="I4:I100" xr:uid="{00000000-0002-0000-0300-000002000000}">
      <formula1>"EGP,USD,EUR,GBP"</formula1>
      <formula2>0</formula2>
    </dataValidation>
  </dataValidations>
  <hyperlinks>
    <hyperlink ref="Q1" location="DMC_NAVIGATION!A1" display="🏠 Back to Home" xr:uid="{00000000-0004-0000-03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N13"/>
  <sheetViews>
    <sheetView topLeftCell="E1" zoomScaleNormal="100" workbookViewId="0">
      <pane ySplit="3" topLeftCell="A4" activePane="bottomLeft" state="frozen"/>
      <selection activeCell="E1" sqref="E1"/>
      <selection pane="bottomLeft" activeCell="N1" sqref="N1"/>
    </sheetView>
  </sheetViews>
  <sheetFormatPr defaultColWidth="8.6328125" defaultRowHeight="14.5" x14ac:dyDescent="0.35"/>
  <cols>
    <col min="1" max="1" width="50" style="2" customWidth="1"/>
    <col min="2" max="2" width="25" style="2" customWidth="1"/>
    <col min="3" max="3" width="9" style="2" customWidth="1"/>
    <col min="4" max="4" width="15" style="2" customWidth="1"/>
    <col min="5" max="6" width="17" style="2" customWidth="1"/>
    <col min="7" max="7" width="20" style="2" customWidth="1"/>
    <col min="8" max="8" width="18" style="2" customWidth="1"/>
    <col min="9" max="9" width="29" style="2" customWidth="1"/>
    <col min="10" max="10" width="10" style="2" customWidth="1"/>
    <col min="11" max="11" width="14" style="2" customWidth="1"/>
    <col min="12" max="12" width="8.6328125" style="2"/>
    <col min="13" max="13" width="18" style="2" customWidth="1"/>
    <col min="14" max="14" width="16" style="2" customWidth="1"/>
    <col min="15" max="16384" width="8.6328125" style="2"/>
  </cols>
  <sheetData>
    <row r="1" spans="1:14" ht="25.5" customHeight="1" x14ac:dyDescent="0.35">
      <c r="A1" s="26" t="s">
        <v>383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8"/>
      <c r="N1" s="27" t="s">
        <v>88</v>
      </c>
    </row>
    <row r="2" spans="1:14" ht="19.5" customHeight="1" x14ac:dyDescent="0.35">
      <c r="A2" s="29" t="s">
        <v>384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4" ht="31.5" customHeight="1" x14ac:dyDescent="0.35">
      <c r="A3" s="30" t="s">
        <v>385</v>
      </c>
      <c r="B3" s="30" t="s">
        <v>386</v>
      </c>
      <c r="C3" s="30" t="s">
        <v>387</v>
      </c>
      <c r="D3" s="30" t="s">
        <v>388</v>
      </c>
      <c r="E3" s="30" t="s">
        <v>389</v>
      </c>
      <c r="F3" s="30" t="s">
        <v>390</v>
      </c>
      <c r="G3" s="30" t="s">
        <v>252</v>
      </c>
      <c r="H3" s="30" t="s">
        <v>254</v>
      </c>
      <c r="I3" s="30" t="s">
        <v>250</v>
      </c>
      <c r="J3" s="30" t="s">
        <v>391</v>
      </c>
      <c r="K3" s="30" t="s">
        <v>392</v>
      </c>
      <c r="L3" s="34" t="s">
        <v>139</v>
      </c>
    </row>
    <row r="4" spans="1:14" ht="18" customHeight="1" x14ac:dyDescent="0.35">
      <c r="A4" s="2" t="s">
        <v>393</v>
      </c>
      <c r="B4" s="2" t="s">
        <v>394</v>
      </c>
      <c r="C4" s="2" t="s">
        <v>395</v>
      </c>
      <c r="D4" s="2" t="s">
        <v>396</v>
      </c>
      <c r="E4" s="2">
        <v>500000</v>
      </c>
      <c r="F4" s="2" t="s">
        <v>313</v>
      </c>
      <c r="G4" s="2">
        <v>30</v>
      </c>
      <c r="H4" s="2" t="s">
        <v>397</v>
      </c>
      <c r="I4" s="2" t="s">
        <v>398</v>
      </c>
      <c r="J4" s="38">
        <v>0</v>
      </c>
      <c r="K4" s="2" t="s">
        <v>279</v>
      </c>
      <c r="L4" s="2" t="s">
        <v>399</v>
      </c>
    </row>
    <row r="5" spans="1:14" ht="18" customHeight="1" x14ac:dyDescent="0.35">
      <c r="A5" s="2" t="s">
        <v>400</v>
      </c>
      <c r="B5" s="2" t="s">
        <v>401</v>
      </c>
      <c r="C5" s="2" t="s">
        <v>402</v>
      </c>
      <c r="D5" s="2" t="s">
        <v>396</v>
      </c>
      <c r="E5" s="2">
        <v>300000</v>
      </c>
      <c r="F5" s="2" t="s">
        <v>313</v>
      </c>
      <c r="G5" s="2">
        <v>45</v>
      </c>
      <c r="H5" s="2" t="s">
        <v>403</v>
      </c>
      <c r="I5" s="2" t="s">
        <v>404</v>
      </c>
      <c r="J5" s="38">
        <v>0</v>
      </c>
      <c r="K5" s="2" t="s">
        <v>405</v>
      </c>
      <c r="L5" s="2" t="s">
        <v>399</v>
      </c>
    </row>
    <row r="6" spans="1:14" ht="18" customHeight="1" x14ac:dyDescent="0.35">
      <c r="A6" s="2" t="s">
        <v>406</v>
      </c>
      <c r="B6" s="2" t="s">
        <v>407</v>
      </c>
      <c r="C6" s="2" t="s">
        <v>408</v>
      </c>
      <c r="D6" s="2" t="s">
        <v>396</v>
      </c>
      <c r="E6" s="2">
        <v>250000</v>
      </c>
      <c r="F6" s="2" t="s">
        <v>409</v>
      </c>
      <c r="G6" s="2">
        <v>30</v>
      </c>
      <c r="H6" s="2" t="s">
        <v>410</v>
      </c>
      <c r="I6" s="2" t="s">
        <v>411</v>
      </c>
      <c r="J6" s="38">
        <v>0</v>
      </c>
      <c r="K6" s="2" t="s">
        <v>288</v>
      </c>
      <c r="L6" s="2" t="s">
        <v>399</v>
      </c>
    </row>
    <row r="7" spans="1:14" ht="18" customHeight="1" x14ac:dyDescent="0.35">
      <c r="A7" s="2" t="s">
        <v>412</v>
      </c>
      <c r="B7" s="2" t="s">
        <v>413</v>
      </c>
      <c r="C7" s="2" t="s">
        <v>414</v>
      </c>
      <c r="D7" s="2" t="s">
        <v>396</v>
      </c>
      <c r="E7" s="2">
        <v>400000</v>
      </c>
      <c r="F7" s="2" t="s">
        <v>313</v>
      </c>
      <c r="G7" s="2">
        <v>30</v>
      </c>
      <c r="H7" s="2" t="s">
        <v>415</v>
      </c>
      <c r="I7" s="2" t="s">
        <v>416</v>
      </c>
      <c r="J7" s="38">
        <v>0</v>
      </c>
      <c r="K7" s="2" t="s">
        <v>417</v>
      </c>
      <c r="L7" s="2" t="s">
        <v>399</v>
      </c>
    </row>
    <row r="8" spans="1:14" ht="18" customHeight="1" x14ac:dyDescent="0.35">
      <c r="A8" s="2" t="s">
        <v>418</v>
      </c>
      <c r="B8" s="2" t="s">
        <v>419</v>
      </c>
      <c r="C8" s="2" t="s">
        <v>420</v>
      </c>
      <c r="D8" s="2" t="s">
        <v>421</v>
      </c>
      <c r="E8" s="2">
        <v>0</v>
      </c>
      <c r="F8" s="2" t="s">
        <v>265</v>
      </c>
      <c r="G8" s="2">
        <v>0</v>
      </c>
      <c r="H8" s="2" t="s">
        <v>278</v>
      </c>
      <c r="I8" s="2" t="s">
        <v>278</v>
      </c>
      <c r="J8" s="38">
        <v>0</v>
      </c>
      <c r="K8" s="2" t="s">
        <v>305</v>
      </c>
      <c r="L8" s="2" t="s">
        <v>399</v>
      </c>
    </row>
    <row r="9" spans="1:14" ht="18" customHeight="1" x14ac:dyDescent="0.35">
      <c r="A9" s="2" t="s">
        <v>422</v>
      </c>
      <c r="B9" s="2" t="s">
        <v>423</v>
      </c>
      <c r="C9" s="2" t="s">
        <v>414</v>
      </c>
      <c r="D9" s="2" t="s">
        <v>396</v>
      </c>
      <c r="E9" s="2">
        <v>350000</v>
      </c>
      <c r="F9" s="2" t="s">
        <v>313</v>
      </c>
      <c r="G9" s="2">
        <v>30</v>
      </c>
      <c r="H9" s="2" t="s">
        <v>424</v>
      </c>
      <c r="I9" s="2" t="s">
        <v>425</v>
      </c>
      <c r="J9" s="38">
        <v>0</v>
      </c>
      <c r="K9" s="2" t="s">
        <v>315</v>
      </c>
      <c r="L9" s="2" t="s">
        <v>399</v>
      </c>
    </row>
    <row r="10" spans="1:14" ht="18" customHeight="1" x14ac:dyDescent="0.35">
      <c r="A10" s="2" t="s">
        <v>426</v>
      </c>
      <c r="B10" s="2" t="s">
        <v>427</v>
      </c>
      <c r="C10" s="2" t="s">
        <v>420</v>
      </c>
      <c r="D10" s="2" t="s">
        <v>428</v>
      </c>
      <c r="E10" s="2">
        <v>50000</v>
      </c>
      <c r="F10" s="2" t="s">
        <v>277</v>
      </c>
      <c r="G10" s="2">
        <v>15</v>
      </c>
      <c r="H10" s="2" t="s">
        <v>278</v>
      </c>
      <c r="I10" s="2" t="s">
        <v>429</v>
      </c>
      <c r="J10" s="38">
        <v>0</v>
      </c>
      <c r="K10" s="2" t="s">
        <v>324</v>
      </c>
      <c r="L10" s="2" t="s">
        <v>399</v>
      </c>
    </row>
    <row r="11" spans="1:14" ht="18" customHeight="1" x14ac:dyDescent="0.35">
      <c r="A11" s="2" t="s">
        <v>430</v>
      </c>
      <c r="B11" s="2" t="s">
        <v>431</v>
      </c>
      <c r="C11" s="2" t="s">
        <v>408</v>
      </c>
      <c r="D11" s="2" t="s">
        <v>396</v>
      </c>
      <c r="E11" s="2">
        <v>200000</v>
      </c>
      <c r="F11" s="2" t="s">
        <v>409</v>
      </c>
      <c r="G11" s="2">
        <v>30</v>
      </c>
      <c r="H11" s="2" t="s">
        <v>432</v>
      </c>
      <c r="I11" s="2" t="s">
        <v>433</v>
      </c>
      <c r="J11" s="38">
        <v>0</v>
      </c>
      <c r="K11" s="2" t="s">
        <v>332</v>
      </c>
      <c r="L11" s="2" t="s">
        <v>399</v>
      </c>
    </row>
    <row r="12" spans="1:14" ht="18" customHeight="1" x14ac:dyDescent="0.35">
      <c r="A12" s="2" t="s">
        <v>434</v>
      </c>
      <c r="B12" s="2" t="s">
        <v>435</v>
      </c>
      <c r="C12" s="2" t="s">
        <v>436</v>
      </c>
      <c r="D12" s="2" t="s">
        <v>396</v>
      </c>
      <c r="E12" s="2">
        <v>450000</v>
      </c>
      <c r="F12" s="2" t="s">
        <v>277</v>
      </c>
      <c r="G12" s="2">
        <v>45</v>
      </c>
      <c r="H12" s="2" t="s">
        <v>437</v>
      </c>
      <c r="I12" s="2" t="s">
        <v>438</v>
      </c>
      <c r="J12" s="38">
        <v>0</v>
      </c>
      <c r="K12" s="2" t="s">
        <v>342</v>
      </c>
      <c r="L12" s="2" t="s">
        <v>399</v>
      </c>
    </row>
    <row r="13" spans="1:14" ht="18" customHeight="1" x14ac:dyDescent="0.35">
      <c r="A13" s="2" t="s">
        <v>439</v>
      </c>
      <c r="B13" s="2" t="s">
        <v>440</v>
      </c>
      <c r="C13" s="2" t="s">
        <v>441</v>
      </c>
      <c r="D13" s="2" t="s">
        <v>396</v>
      </c>
      <c r="E13" s="2">
        <v>200000</v>
      </c>
      <c r="F13" s="2" t="s">
        <v>313</v>
      </c>
      <c r="G13" s="2">
        <v>60</v>
      </c>
      <c r="H13" s="2" t="s">
        <v>442</v>
      </c>
      <c r="I13" s="2" t="s">
        <v>443</v>
      </c>
      <c r="J13" s="38">
        <v>0</v>
      </c>
      <c r="K13" s="2" t="s">
        <v>444</v>
      </c>
      <c r="L13" s="2" t="s">
        <v>399</v>
      </c>
    </row>
  </sheetData>
  <sheetProtection algorithmName="SHA-512" hashValue="0JhIOyGvuKYLWYasmYHnbNo/CbE2Qge1epKVeH1KrNDTaK2fsv+/wKAz2ksjEB7J+eeKI094eUQvyCdubWEUhQ==" saltValue="scZtNzlllwJ3eUXMpQog3Q==" spinCount="100000" sheet="1" objects="1" scenarios="1"/>
  <mergeCells count="2">
    <mergeCell ref="A1:L1"/>
    <mergeCell ref="A2:L2"/>
  </mergeCells>
  <dataValidations count="1">
    <dataValidation type="list" sqref="J4:J13" xr:uid="{00000000-0002-0000-0400-000000000000}">
      <formula1>"Active,Inactive,Prospect,Blacklisted"</formula1>
      <formula2>0</formula2>
    </dataValidation>
  </dataValidations>
  <hyperlinks>
    <hyperlink ref="N1" location="DMC_NAVIGATION!A1" display="🏠 Back to Home" xr:uid="{00000000-0004-0000-04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Q13"/>
  <sheetViews>
    <sheetView zoomScaleNormal="100" workbookViewId="0">
      <pane ySplit="3" topLeftCell="A4" activePane="bottomLeft" state="frozen"/>
      <selection pane="bottomLeft" activeCell="G3" sqref="G3"/>
    </sheetView>
  </sheetViews>
  <sheetFormatPr defaultColWidth="8.6328125" defaultRowHeight="14.5" x14ac:dyDescent="0.35"/>
  <cols>
    <col min="1" max="1" width="50" style="2" customWidth="1"/>
    <col min="2" max="2" width="27" style="2" customWidth="1"/>
    <col min="3" max="3" width="13" style="2" customWidth="1"/>
    <col min="4" max="4" width="10" style="2" customWidth="1"/>
    <col min="5" max="5" width="19" style="2" customWidth="1"/>
    <col min="6" max="6" width="25" style="2" customWidth="1"/>
    <col min="7" max="7" width="24" style="2" customWidth="1"/>
    <col min="8" max="8" width="16" style="2" customWidth="1"/>
    <col min="9" max="9" width="20" style="2" customWidth="1"/>
    <col min="10" max="10" width="8" style="2" customWidth="1"/>
    <col min="11" max="11" width="16" style="2" customWidth="1"/>
    <col min="12" max="12" width="8.6328125" style="2"/>
    <col min="13" max="13" width="18" style="2" customWidth="1"/>
    <col min="14" max="16" width="8.6328125" style="2"/>
    <col min="17" max="17" width="16" style="2" customWidth="1"/>
    <col min="18" max="16384" width="8.6328125" style="2"/>
  </cols>
  <sheetData>
    <row r="1" spans="1:17" ht="25.5" customHeight="1" x14ac:dyDescent="0.35">
      <c r="A1" s="26" t="s">
        <v>445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8"/>
      <c r="Q1" s="27" t="s">
        <v>88</v>
      </c>
    </row>
    <row r="2" spans="1:17" ht="19.5" customHeight="1" x14ac:dyDescent="0.35">
      <c r="A2" s="29" t="s">
        <v>446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7" ht="31.5" customHeight="1" x14ac:dyDescent="0.35">
      <c r="A3" s="30" t="s">
        <v>447</v>
      </c>
      <c r="B3" s="30" t="s">
        <v>448</v>
      </c>
      <c r="C3" s="30" t="s">
        <v>449</v>
      </c>
      <c r="D3" s="30" t="s">
        <v>450</v>
      </c>
      <c r="E3" s="30" t="s">
        <v>249</v>
      </c>
      <c r="F3" s="30" t="s">
        <v>250</v>
      </c>
      <c r="G3" s="30" t="s">
        <v>253</v>
      </c>
      <c r="H3" s="30" t="s">
        <v>451</v>
      </c>
      <c r="I3" s="34" t="s">
        <v>452</v>
      </c>
      <c r="J3" s="34" t="s">
        <v>453</v>
      </c>
      <c r="K3" s="34" t="s">
        <v>454</v>
      </c>
      <c r="L3" s="30" t="s">
        <v>252</v>
      </c>
      <c r="M3" s="30" t="s">
        <v>7</v>
      </c>
      <c r="N3" s="30" t="s">
        <v>256</v>
      </c>
      <c r="O3" s="34" t="s">
        <v>245</v>
      </c>
    </row>
    <row r="4" spans="1:17" ht="18" customHeight="1" x14ac:dyDescent="0.35">
      <c r="A4" s="2" t="s">
        <v>355</v>
      </c>
      <c r="B4" s="2" t="s">
        <v>353</v>
      </c>
      <c r="C4" s="2">
        <v>5</v>
      </c>
      <c r="D4" s="2" t="s">
        <v>455</v>
      </c>
      <c r="E4" s="2" t="s">
        <v>456</v>
      </c>
      <c r="F4" s="2" t="s">
        <v>457</v>
      </c>
      <c r="G4" s="2" t="s">
        <v>313</v>
      </c>
      <c r="H4" s="2">
        <v>72</v>
      </c>
      <c r="I4" s="2">
        <v>90</v>
      </c>
      <c r="J4" s="37">
        <f t="shared" ref="J4:J13" si="0">I4-H4</f>
        <v>18</v>
      </c>
      <c r="K4" s="37">
        <f t="shared" ref="K4:K13" si="1">(I4-H4)/I4</f>
        <v>0.2</v>
      </c>
      <c r="L4" s="2">
        <v>30</v>
      </c>
      <c r="M4" s="2" t="s">
        <v>267</v>
      </c>
      <c r="N4" s="2" t="s">
        <v>268</v>
      </c>
      <c r="O4" s="37" t="str">
        <f>IFERROR(INDEX(TB_Suppliers_Master!$A$4:$A$23,MATCH(A4,TB_Suppliers_Master!$O$4:$O$23,0)),"")</f>
        <v>SUP-HTL-001</v>
      </c>
    </row>
    <row r="5" spans="1:17" ht="18" customHeight="1" x14ac:dyDescent="0.35">
      <c r="A5" s="2" t="s">
        <v>358</v>
      </c>
      <c r="B5" s="2" t="s">
        <v>357</v>
      </c>
      <c r="C5" s="2">
        <v>5</v>
      </c>
      <c r="D5" s="2" t="s">
        <v>455</v>
      </c>
      <c r="E5" s="2" t="s">
        <v>338</v>
      </c>
      <c r="F5" s="2" t="s">
        <v>458</v>
      </c>
      <c r="G5" s="2" t="s">
        <v>313</v>
      </c>
      <c r="H5" s="2">
        <v>65</v>
      </c>
      <c r="I5" s="2">
        <v>82</v>
      </c>
      <c r="J5" s="37">
        <f t="shared" si="0"/>
        <v>17</v>
      </c>
      <c r="K5" s="37">
        <f t="shared" si="1"/>
        <v>0.2073170731707317</v>
      </c>
      <c r="L5" s="2">
        <v>30</v>
      </c>
      <c r="M5" s="2" t="s">
        <v>267</v>
      </c>
      <c r="N5" s="2" t="s">
        <v>268</v>
      </c>
      <c r="O5" s="37" t="str">
        <f>IFERROR(INDEX(TB_Suppliers_Master!$A$4:$A$23,MATCH(A5,TB_Suppliers_Master!$O$4:$O$23,0)),"")</f>
        <v>SUP-HTL-002</v>
      </c>
    </row>
    <row r="6" spans="1:17" ht="18" customHeight="1" x14ac:dyDescent="0.35">
      <c r="A6" s="2" t="s">
        <v>361</v>
      </c>
      <c r="B6" s="2" t="s">
        <v>360</v>
      </c>
      <c r="C6" s="2">
        <v>5</v>
      </c>
      <c r="D6" s="2" t="s">
        <v>455</v>
      </c>
      <c r="E6" s="2" t="s">
        <v>347</v>
      </c>
      <c r="F6" s="2" t="s">
        <v>459</v>
      </c>
      <c r="G6" s="2" t="s">
        <v>313</v>
      </c>
      <c r="H6" s="2">
        <v>62</v>
      </c>
      <c r="I6" s="2">
        <v>78</v>
      </c>
      <c r="J6" s="37">
        <f t="shared" si="0"/>
        <v>16</v>
      </c>
      <c r="K6" s="37">
        <f t="shared" si="1"/>
        <v>0.20512820512820512</v>
      </c>
      <c r="L6" s="2">
        <v>45</v>
      </c>
      <c r="M6" s="2" t="s">
        <v>267</v>
      </c>
      <c r="N6" s="2" t="s">
        <v>268</v>
      </c>
      <c r="O6" s="37" t="str">
        <f>IFERROR(INDEX(TB_Suppliers_Master!$A$4:$A$23,MATCH(A6,TB_Suppliers_Master!$O$4:$O$23,0)),"")</f>
        <v>SUP-HTL-003</v>
      </c>
    </row>
    <row r="7" spans="1:17" ht="18" customHeight="1" x14ac:dyDescent="0.35">
      <c r="A7" s="2" t="s">
        <v>379</v>
      </c>
      <c r="B7" s="2" t="s">
        <v>378</v>
      </c>
      <c r="C7" s="2">
        <v>4</v>
      </c>
      <c r="D7" s="2" t="s">
        <v>455</v>
      </c>
      <c r="E7" s="2" t="s">
        <v>460</v>
      </c>
      <c r="F7" s="2" t="s">
        <v>461</v>
      </c>
      <c r="G7" s="2" t="s">
        <v>313</v>
      </c>
      <c r="H7" s="2">
        <v>48</v>
      </c>
      <c r="I7" s="2">
        <v>60</v>
      </c>
      <c r="J7" s="37">
        <f t="shared" si="0"/>
        <v>12</v>
      </c>
      <c r="K7" s="37">
        <f t="shared" si="1"/>
        <v>0.2</v>
      </c>
      <c r="L7" s="2">
        <v>30</v>
      </c>
      <c r="M7" s="2" t="s">
        <v>267</v>
      </c>
      <c r="N7" s="2" t="s">
        <v>268</v>
      </c>
      <c r="O7" s="37" t="str">
        <f>IFERROR(INDEX(TB_Suppliers_Master!$A$4:$A$23,MATCH(A7,TB_Suppliers_Master!$O$4:$O$23,0)),"")</f>
        <v>SUP-HTL-009</v>
      </c>
    </row>
    <row r="8" spans="1:17" ht="18" customHeight="1" x14ac:dyDescent="0.35">
      <c r="A8" s="2" t="s">
        <v>382</v>
      </c>
      <c r="B8" s="2" t="s">
        <v>381</v>
      </c>
      <c r="C8" s="2">
        <v>4</v>
      </c>
      <c r="D8" s="2" t="s">
        <v>455</v>
      </c>
      <c r="E8" s="2" t="s">
        <v>462</v>
      </c>
      <c r="F8" s="2" t="s">
        <v>463</v>
      </c>
      <c r="G8" s="2" t="s">
        <v>313</v>
      </c>
      <c r="H8" s="2">
        <v>42</v>
      </c>
      <c r="I8" s="2">
        <v>53</v>
      </c>
      <c r="J8" s="37">
        <f t="shared" si="0"/>
        <v>11</v>
      </c>
      <c r="K8" s="37">
        <f t="shared" si="1"/>
        <v>0.20754716981132076</v>
      </c>
      <c r="L8" s="2">
        <v>30</v>
      </c>
      <c r="M8" s="2" t="s">
        <v>267</v>
      </c>
      <c r="N8" s="2" t="s">
        <v>268</v>
      </c>
      <c r="O8" s="37" t="str">
        <f>IFERROR(INDEX(TB_Suppliers_Master!$A$4:$A$23,MATCH(A8,TB_Suppliers_Master!$O$4:$O$23,0)),"")</f>
        <v>SUP-HTL-010</v>
      </c>
    </row>
    <row r="9" spans="1:17" ht="18" customHeight="1" x14ac:dyDescent="0.35">
      <c r="A9" s="2" t="s">
        <v>364</v>
      </c>
      <c r="B9" s="2" t="s">
        <v>363</v>
      </c>
      <c r="C9" s="2">
        <v>5</v>
      </c>
      <c r="D9" s="2" t="s">
        <v>455</v>
      </c>
      <c r="E9" s="2" t="s">
        <v>464</v>
      </c>
      <c r="F9" s="2" t="s">
        <v>465</v>
      </c>
      <c r="G9" s="2" t="s">
        <v>313</v>
      </c>
      <c r="H9" s="2">
        <v>76</v>
      </c>
      <c r="I9" s="2">
        <v>95</v>
      </c>
      <c r="J9" s="37">
        <f t="shared" si="0"/>
        <v>19</v>
      </c>
      <c r="K9" s="37">
        <f t="shared" si="1"/>
        <v>0.2</v>
      </c>
      <c r="L9" s="2">
        <v>30</v>
      </c>
      <c r="M9" s="2" t="s">
        <v>267</v>
      </c>
      <c r="N9" s="2" t="s">
        <v>288</v>
      </c>
      <c r="O9" s="37" t="str">
        <f>IFERROR(INDEX(TB_Suppliers_Master!$A$4:$A$23,MATCH(A9,TB_Suppliers_Master!$O$4:$O$23,0)),"")</f>
        <v>SUP-HTL-004</v>
      </c>
    </row>
    <row r="10" spans="1:17" ht="18" customHeight="1" x14ac:dyDescent="0.35">
      <c r="A10" s="2" t="s">
        <v>367</v>
      </c>
      <c r="B10" s="2" t="s">
        <v>366</v>
      </c>
      <c r="C10" s="2">
        <v>4</v>
      </c>
      <c r="D10" s="2" t="s">
        <v>455</v>
      </c>
      <c r="E10" s="2" t="s">
        <v>293</v>
      </c>
      <c r="F10" s="2" t="s">
        <v>466</v>
      </c>
      <c r="G10" s="2" t="s">
        <v>277</v>
      </c>
      <c r="H10" s="2">
        <v>60</v>
      </c>
      <c r="I10" s="2">
        <v>75</v>
      </c>
      <c r="J10" s="37">
        <f t="shared" si="0"/>
        <v>15</v>
      </c>
      <c r="K10" s="37">
        <f t="shared" si="1"/>
        <v>0.2</v>
      </c>
      <c r="L10" s="2">
        <v>30</v>
      </c>
      <c r="M10" s="2" t="s">
        <v>267</v>
      </c>
      <c r="N10" s="2" t="s">
        <v>288</v>
      </c>
      <c r="O10" s="37" t="str">
        <f>IFERROR(INDEX(TB_Suppliers_Master!$A$4:$A$23,MATCH(A10,TB_Suppliers_Master!$O$4:$O$23,0)),"")</f>
        <v>SUP-HTL-005</v>
      </c>
    </row>
    <row r="11" spans="1:17" ht="18" customHeight="1" x14ac:dyDescent="0.35">
      <c r="A11" s="2" t="s">
        <v>370</v>
      </c>
      <c r="B11" s="2" t="s">
        <v>369</v>
      </c>
      <c r="C11" s="2">
        <v>5</v>
      </c>
      <c r="D11" s="2" t="s">
        <v>455</v>
      </c>
      <c r="E11" s="2" t="s">
        <v>329</v>
      </c>
      <c r="F11" s="2" t="s">
        <v>467</v>
      </c>
      <c r="G11" s="2" t="s">
        <v>409</v>
      </c>
      <c r="H11" s="2">
        <v>68</v>
      </c>
      <c r="I11" s="2">
        <v>85</v>
      </c>
      <c r="J11" s="37">
        <f t="shared" si="0"/>
        <v>17</v>
      </c>
      <c r="K11" s="37">
        <f t="shared" si="1"/>
        <v>0.2</v>
      </c>
      <c r="L11" s="2">
        <v>45</v>
      </c>
      <c r="M11" s="2" t="s">
        <v>267</v>
      </c>
      <c r="N11" s="2" t="s">
        <v>305</v>
      </c>
      <c r="O11" s="37" t="str">
        <f>IFERROR(INDEX(TB_Suppliers_Master!$A$4:$A$23,MATCH(A11,TB_Suppliers_Master!$O$4:$O$23,0)),"")</f>
        <v>SUP-HTL-006</v>
      </c>
    </row>
    <row r="12" spans="1:17" ht="18" customHeight="1" x14ac:dyDescent="0.35">
      <c r="A12" s="2" t="s">
        <v>373</v>
      </c>
      <c r="B12" s="2" t="s">
        <v>372</v>
      </c>
      <c r="C12" s="2">
        <v>4</v>
      </c>
      <c r="D12" s="2" t="s">
        <v>455</v>
      </c>
      <c r="E12" s="2" t="s">
        <v>310</v>
      </c>
      <c r="F12" s="2" t="s">
        <v>468</v>
      </c>
      <c r="G12" s="2" t="s">
        <v>277</v>
      </c>
      <c r="H12" s="2">
        <v>56</v>
      </c>
      <c r="I12" s="2">
        <v>70</v>
      </c>
      <c r="J12" s="37">
        <f t="shared" si="0"/>
        <v>14</v>
      </c>
      <c r="K12" s="37">
        <f t="shared" si="1"/>
        <v>0.2</v>
      </c>
      <c r="L12" s="2">
        <v>30</v>
      </c>
      <c r="M12" s="2" t="s">
        <v>267</v>
      </c>
      <c r="N12" s="2" t="s">
        <v>305</v>
      </c>
      <c r="O12" s="37" t="str">
        <f>IFERROR(INDEX(TB_Suppliers_Master!$A$4:$A$23,MATCH(A12,TB_Suppliers_Master!$O$4:$O$23,0)),"")</f>
        <v>SUP-HTL-007</v>
      </c>
    </row>
    <row r="13" spans="1:17" ht="18" customHeight="1" x14ac:dyDescent="0.35">
      <c r="A13" s="2" t="s">
        <v>376</v>
      </c>
      <c r="B13" s="2" t="s">
        <v>375</v>
      </c>
      <c r="C13" s="2">
        <v>4</v>
      </c>
      <c r="D13" s="2" t="s">
        <v>455</v>
      </c>
      <c r="E13" s="2" t="s">
        <v>320</v>
      </c>
      <c r="F13" s="2" t="s">
        <v>469</v>
      </c>
      <c r="G13" s="2" t="s">
        <v>313</v>
      </c>
      <c r="H13" s="2">
        <v>52</v>
      </c>
      <c r="I13" s="2">
        <v>65</v>
      </c>
      <c r="J13" s="37">
        <f t="shared" si="0"/>
        <v>13</v>
      </c>
      <c r="K13" s="37">
        <f t="shared" si="1"/>
        <v>0.2</v>
      </c>
      <c r="L13" s="2">
        <v>30</v>
      </c>
      <c r="M13" s="2" t="s">
        <v>267</v>
      </c>
      <c r="N13" s="2" t="s">
        <v>324</v>
      </c>
      <c r="O13" s="37" t="str">
        <f>IFERROR(INDEX(TB_Suppliers_Master!$A$4:$A$23,MATCH(A13,TB_Suppliers_Master!$O$4:$O$23,0)),"")</f>
        <v>SUP-HTL-008</v>
      </c>
    </row>
  </sheetData>
  <sheetProtection algorithmName="SHA-512" hashValue="QJ5b/gNDqVk+bLFjo/sgTS8H4RUnMgRNIOAQFk/NRFJi2St52WaEq5kBf/zIZpFrG8gKMeDJ3ARe6CFmfDoKow==" saltValue="28lm3Vrb3XuZ5S24U1e0mA==" spinCount="100000" sheet="1" objects="1" scenarios="1"/>
  <mergeCells count="2">
    <mergeCell ref="A1:O1"/>
    <mergeCell ref="A2:O2"/>
  </mergeCells>
  <hyperlinks>
    <hyperlink ref="Q1" location="DMC_NAVIGATION!A1" display="🏠 Back to Home" xr:uid="{00000000-0004-0000-05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N11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50" style="2" customWidth="1"/>
    <col min="2" max="2" width="15" style="2" customWidth="1"/>
    <col min="3" max="3" width="13" style="2" customWidth="1"/>
    <col min="4" max="4" width="27" style="2" customWidth="1"/>
    <col min="5" max="5" width="17" style="2" customWidth="1"/>
    <col min="6" max="6" width="25" style="2" customWidth="1"/>
    <col min="7" max="7" width="16" style="2" customWidth="1"/>
    <col min="8" max="8" width="12" style="2" customWidth="1"/>
    <col min="9" max="9" width="10" style="2" customWidth="1"/>
    <col min="10" max="10" width="19" style="2" customWidth="1"/>
    <col min="11" max="11" width="8.6328125" style="2"/>
    <col min="12" max="12" width="18" style="2" customWidth="1"/>
    <col min="13" max="13" width="8.6328125" style="2"/>
    <col min="14" max="14" width="16" style="2" customWidth="1"/>
    <col min="15" max="16384" width="8.6328125" style="2"/>
  </cols>
  <sheetData>
    <row r="1" spans="1:14" ht="25.5" customHeight="1" x14ac:dyDescent="0.35">
      <c r="A1" s="39" t="s">
        <v>470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N1" s="27" t="s">
        <v>88</v>
      </c>
    </row>
    <row r="2" spans="1:14" ht="19.5" customHeight="1" x14ac:dyDescent="0.35">
      <c r="A2" s="29" t="s">
        <v>471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4" ht="31.5" customHeight="1" x14ac:dyDescent="0.35">
      <c r="A3" s="30" t="s">
        <v>472</v>
      </c>
      <c r="B3" s="30" t="s">
        <v>473</v>
      </c>
      <c r="C3" s="30" t="s">
        <v>474</v>
      </c>
      <c r="D3" s="30" t="s">
        <v>475</v>
      </c>
      <c r="E3" s="30" t="s">
        <v>476</v>
      </c>
      <c r="F3" s="30" t="s">
        <v>477</v>
      </c>
      <c r="G3" s="30" t="s">
        <v>478</v>
      </c>
      <c r="H3" s="30" t="s">
        <v>479</v>
      </c>
      <c r="I3" s="30" t="s">
        <v>7</v>
      </c>
      <c r="J3" s="30" t="s">
        <v>480</v>
      </c>
      <c r="K3" s="34"/>
      <c r="L3" s="34" t="s">
        <v>481</v>
      </c>
    </row>
    <row r="4" spans="1:14" ht="18" customHeight="1" x14ac:dyDescent="0.35">
      <c r="A4" s="2" t="s">
        <v>482</v>
      </c>
      <c r="B4" s="2" t="s">
        <v>483</v>
      </c>
      <c r="C4" s="2" t="s">
        <v>484</v>
      </c>
      <c r="D4" s="2" t="s">
        <v>353</v>
      </c>
      <c r="E4" s="2">
        <v>5000</v>
      </c>
      <c r="F4" s="2">
        <v>0.1</v>
      </c>
      <c r="G4" s="2">
        <v>2000</v>
      </c>
      <c r="H4" s="2" t="s">
        <v>279</v>
      </c>
      <c r="I4" s="2" t="s">
        <v>267</v>
      </c>
      <c r="J4" s="2" t="s">
        <v>485</v>
      </c>
      <c r="L4" s="37" t="str">
        <f>IFERROR(INDEX(TB_Master_Bookings!$B$4:$B$1000,MATCH(INDEX(TB_Hotels_Master!$A$4:$A$1000,MATCH(D4,TB_Hotels_Master!$B$4:$B$1000,0)),TB_Master_Bookings!$O$4:$O$1000,0)),"")</f>
        <v>CLI-001</v>
      </c>
    </row>
    <row r="5" spans="1:14" ht="18" customHeight="1" x14ac:dyDescent="0.35">
      <c r="A5" s="2" t="s">
        <v>486</v>
      </c>
      <c r="B5" s="2" t="s">
        <v>487</v>
      </c>
      <c r="C5" s="2" t="s">
        <v>484</v>
      </c>
      <c r="D5" s="2" t="s">
        <v>357</v>
      </c>
      <c r="E5" s="2">
        <v>5000</v>
      </c>
      <c r="F5" s="2">
        <v>0.1</v>
      </c>
      <c r="G5" s="2">
        <v>2000</v>
      </c>
      <c r="H5" s="2" t="s">
        <v>288</v>
      </c>
      <c r="I5" s="2" t="s">
        <v>267</v>
      </c>
      <c r="J5" s="2" t="s">
        <v>488</v>
      </c>
      <c r="L5" s="37" t="str">
        <f>IFERROR(INDEX(TB_Master_Bookings!$B$4:$B$1000,MATCH(INDEX(TB_Hotels_Master!$A$4:$A$1000,MATCH(D5,TB_Hotels_Master!$B$4:$B$1000,0)),TB_Master_Bookings!$O$4:$O$1000,0)),"")</f>
        <v>CLI-002</v>
      </c>
    </row>
    <row r="6" spans="1:14" ht="18" customHeight="1" x14ac:dyDescent="0.35">
      <c r="A6" s="2" t="s">
        <v>489</v>
      </c>
      <c r="B6" s="2" t="s">
        <v>490</v>
      </c>
      <c r="C6" s="2" t="s">
        <v>484</v>
      </c>
      <c r="D6" s="2" t="s">
        <v>360</v>
      </c>
      <c r="E6" s="2">
        <v>5000</v>
      </c>
      <c r="F6" s="2">
        <v>0.1</v>
      </c>
      <c r="G6" s="2">
        <v>2000</v>
      </c>
      <c r="H6" s="2" t="s">
        <v>405</v>
      </c>
      <c r="I6" s="2" t="s">
        <v>267</v>
      </c>
      <c r="J6" s="2" t="s">
        <v>491</v>
      </c>
      <c r="L6" s="37" t="str">
        <f>IFERROR(INDEX(TB_Master_Bookings!$B$4:$B$1000,MATCH(INDEX(TB_Hotels_Master!$A$4:$A$1000,MATCH(D6,TB_Hotels_Master!$B$4:$B$1000,0)),TB_Master_Bookings!$O$4:$O$1000,0)),"")</f>
        <v>CLI-003</v>
      </c>
    </row>
    <row r="7" spans="1:14" ht="18" customHeight="1" x14ac:dyDescent="0.35">
      <c r="A7" s="2" t="s">
        <v>492</v>
      </c>
      <c r="B7" s="2" t="s">
        <v>493</v>
      </c>
      <c r="C7" s="2" t="s">
        <v>484</v>
      </c>
      <c r="D7" s="2" t="s">
        <v>378</v>
      </c>
      <c r="E7" s="2">
        <v>5000</v>
      </c>
      <c r="F7" s="2">
        <v>0.1</v>
      </c>
      <c r="G7" s="2">
        <v>2000</v>
      </c>
      <c r="H7" s="2" t="s">
        <v>305</v>
      </c>
      <c r="I7" s="2" t="s">
        <v>267</v>
      </c>
      <c r="J7" s="2" t="s">
        <v>494</v>
      </c>
      <c r="L7" s="37" t="str">
        <f>IFERROR(INDEX(TB_Master_Bookings!$B$4:$B$1000,MATCH(INDEX(TB_Hotels_Master!$A$4:$A$1000,MATCH(D7,TB_Hotels_Master!$B$4:$B$1000,0)),TB_Master_Bookings!$O$4:$O$1000,0)),"")</f>
        <v>CLI-004</v>
      </c>
    </row>
    <row r="8" spans="1:14" ht="18" customHeight="1" x14ac:dyDescent="0.35">
      <c r="A8" s="2" t="s">
        <v>495</v>
      </c>
      <c r="B8" s="2" t="s">
        <v>496</v>
      </c>
      <c r="C8" s="2" t="s">
        <v>484</v>
      </c>
      <c r="D8" s="2" t="s">
        <v>381</v>
      </c>
      <c r="E8" s="2">
        <v>5000</v>
      </c>
      <c r="F8" s="2">
        <v>0.1</v>
      </c>
      <c r="G8" s="2">
        <v>2000</v>
      </c>
      <c r="H8" s="2" t="s">
        <v>324</v>
      </c>
      <c r="I8" s="2" t="s">
        <v>497</v>
      </c>
      <c r="J8" s="2" t="s">
        <v>498</v>
      </c>
      <c r="L8" s="37" t="str">
        <f>IFERROR(INDEX(TB_Master_Bookings!$B$4:$B$1000,MATCH(INDEX(TB_Hotels_Master!$A$4:$A$1000,MATCH(D8,TB_Hotels_Master!$B$4:$B$1000,0)),TB_Master_Bookings!$O$4:$O$1000,0)),"")</f>
        <v>CLI-005</v>
      </c>
    </row>
    <row r="9" spans="1:14" ht="18" customHeight="1" x14ac:dyDescent="0.35">
      <c r="A9" s="2" t="s">
        <v>499</v>
      </c>
      <c r="B9" s="2" t="s">
        <v>500</v>
      </c>
      <c r="C9" s="2" t="s">
        <v>484</v>
      </c>
      <c r="D9" s="2" t="s">
        <v>363</v>
      </c>
      <c r="E9" s="2">
        <v>5500</v>
      </c>
      <c r="F9" s="2">
        <v>0.1</v>
      </c>
      <c r="G9" s="2">
        <v>2500</v>
      </c>
      <c r="H9" s="2" t="s">
        <v>342</v>
      </c>
      <c r="I9" s="2" t="s">
        <v>267</v>
      </c>
      <c r="J9" s="2" t="s">
        <v>501</v>
      </c>
      <c r="L9" s="37" t="str">
        <f>IFERROR(INDEX(TB_Master_Bookings!$B$4:$B$1000,MATCH(INDEX(TB_Hotels_Master!$A$4:$A$1000,MATCH(D9,TB_Hotels_Master!$B$4:$B$1000,0)),TB_Master_Bookings!$O$4:$O$1000,0)),"")</f>
        <v>CLI-006</v>
      </c>
    </row>
    <row r="10" spans="1:14" ht="18" customHeight="1" x14ac:dyDescent="0.35">
      <c r="A10" s="2" t="s">
        <v>502</v>
      </c>
      <c r="B10" s="2" t="s">
        <v>503</v>
      </c>
      <c r="C10" s="2" t="s">
        <v>484</v>
      </c>
      <c r="D10" s="2" t="s">
        <v>369</v>
      </c>
      <c r="E10" s="2">
        <v>5500</v>
      </c>
      <c r="F10" s="2">
        <v>0.1</v>
      </c>
      <c r="G10" s="2">
        <v>2500</v>
      </c>
      <c r="H10" s="2" t="s">
        <v>350</v>
      </c>
      <c r="I10" s="2" t="s">
        <v>267</v>
      </c>
      <c r="J10" s="2" t="s">
        <v>504</v>
      </c>
      <c r="L10" s="37" t="str">
        <f>IFERROR(INDEX(TB_Master_Bookings!$B$4:$B$1000,MATCH(INDEX(TB_Hotels_Master!$A$4:$A$1000,MATCH(D10,TB_Hotels_Master!$B$4:$B$1000,0)),TB_Master_Bookings!$O$4:$O$1000,0)),"")</f>
        <v>CLI-008</v>
      </c>
    </row>
    <row r="11" spans="1:14" ht="18" customHeight="1" x14ac:dyDescent="0.35">
      <c r="A11" s="2" t="s">
        <v>505</v>
      </c>
      <c r="B11" s="2" t="s">
        <v>506</v>
      </c>
      <c r="C11" s="2" t="s">
        <v>484</v>
      </c>
      <c r="D11" s="2" t="s">
        <v>366</v>
      </c>
      <c r="E11" s="2">
        <v>5500</v>
      </c>
      <c r="F11" s="2">
        <v>0.1</v>
      </c>
      <c r="G11" s="2">
        <v>2500</v>
      </c>
      <c r="H11" s="2" t="s">
        <v>444</v>
      </c>
      <c r="I11" s="2" t="s">
        <v>267</v>
      </c>
      <c r="J11" s="2" t="s">
        <v>507</v>
      </c>
      <c r="L11" s="37" t="str">
        <f>IFERROR(INDEX(TB_Master_Bookings!$B$4:$B$1000,MATCH(INDEX(TB_Hotels_Master!$A$4:$A$1000,MATCH(D11,TB_Hotels_Master!$B$4:$B$1000,0)),TB_Master_Bookings!$O$4:$O$1000,0)),"")</f>
        <v>CLI-007</v>
      </c>
    </row>
  </sheetData>
  <sheetProtection algorithmName="SHA-512" hashValue="gUJuYERhqmEK4w5Kb4kfNnmNkv3AAKx33SnzyWkeVar2Pd+BN/FCLRdMI+t4wZ0Ebkc+9BGXfdQZnygTZACBUg==" saltValue="BZerFFim44hnLK6O6EUySg==" spinCount="100000" sheet="1" objects="1" scenarios="1"/>
  <mergeCells count="2">
    <mergeCell ref="A1:L1"/>
    <mergeCell ref="A2:L2"/>
  </mergeCells>
  <hyperlinks>
    <hyperlink ref="N1" location="DMC_NAVIGATION!A1" display="🏠 Back to Home" xr:uid="{00000000-0004-0000-06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R1000"/>
  <sheetViews>
    <sheetView topLeftCell="H1" zoomScaleNormal="100" workbookViewId="0">
      <pane ySplit="3" topLeftCell="A4" activePane="bottomLeft" state="frozen"/>
      <selection activeCell="B1" sqref="B1"/>
      <selection pane="bottomLeft" activeCell="R1" sqref="R1"/>
    </sheetView>
  </sheetViews>
  <sheetFormatPr defaultColWidth="8.6328125" defaultRowHeight="14.5" x14ac:dyDescent="0.35"/>
  <cols>
    <col min="1" max="1" width="50" style="2" customWidth="1"/>
    <col min="2" max="2" width="11" style="2" customWidth="1"/>
    <col min="3" max="3" width="25" style="2" customWidth="1"/>
    <col min="4" max="4" width="28" style="2" customWidth="1"/>
    <col min="5" max="5" width="11" style="2" customWidth="1"/>
    <col min="6" max="7" width="12" style="2" customWidth="1"/>
    <col min="8" max="8" width="8" style="2" customWidth="1"/>
    <col min="9" max="9" width="10" style="2" customWidth="1"/>
    <col min="10" max="10" width="25" style="2" customWidth="1"/>
    <col min="11" max="11" width="10" style="2" customWidth="1"/>
    <col min="12" max="12" width="23" style="2" customWidth="1"/>
    <col min="13" max="13" width="11" style="2" customWidth="1"/>
    <col min="14" max="14" width="13" style="2" customWidth="1"/>
    <col min="15" max="15" width="8.6328125" style="2"/>
    <col min="16" max="16" width="18" style="2" customWidth="1"/>
    <col min="17" max="17" width="8.6328125" style="2"/>
    <col min="18" max="18" width="16" style="2" customWidth="1"/>
    <col min="19" max="16384" width="8.6328125" style="2"/>
  </cols>
  <sheetData>
    <row r="1" spans="1:18" ht="25.5" customHeight="1" x14ac:dyDescent="0.35">
      <c r="A1" s="39" t="s">
        <v>508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40"/>
      <c r="R1" s="27" t="s">
        <v>88</v>
      </c>
    </row>
    <row r="2" spans="1:18" ht="19.5" customHeight="1" x14ac:dyDescent="0.35">
      <c r="A2" s="29" t="s">
        <v>509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18" ht="31.5" customHeight="1" x14ac:dyDescent="0.35">
      <c r="A3" s="30" t="s">
        <v>510</v>
      </c>
      <c r="B3" s="30" t="s">
        <v>385</v>
      </c>
      <c r="C3" s="30" t="s">
        <v>386</v>
      </c>
      <c r="D3" s="30" t="s">
        <v>511</v>
      </c>
      <c r="E3" s="30" t="s">
        <v>512</v>
      </c>
      <c r="F3" s="30" t="s">
        <v>513</v>
      </c>
      <c r="G3" s="30" t="s">
        <v>514</v>
      </c>
      <c r="H3" s="30" t="s">
        <v>515</v>
      </c>
      <c r="I3" s="30" t="s">
        <v>253</v>
      </c>
      <c r="J3" s="30" t="s">
        <v>516</v>
      </c>
      <c r="K3" s="30" t="s">
        <v>517</v>
      </c>
      <c r="L3" s="30" t="s">
        <v>518</v>
      </c>
      <c r="M3" s="30" t="s">
        <v>519</v>
      </c>
      <c r="N3" s="30" t="s">
        <v>7</v>
      </c>
      <c r="O3" s="34" t="s">
        <v>447</v>
      </c>
      <c r="P3" s="34" t="s">
        <v>520</v>
      </c>
    </row>
    <row r="4" spans="1:18" ht="18" customHeight="1" x14ac:dyDescent="0.35">
      <c r="A4" s="2" t="s">
        <v>521</v>
      </c>
      <c r="B4" s="2" t="s">
        <v>393</v>
      </c>
      <c r="C4" s="37" t="str">
        <f>IF(B4="","",IFERROR(INDEX(TB_Clients_Master!$B$4:$B$1000,MATCH(B4,TB_Clients_Master!$A$4:$A$1000,0)),"INVALID CLIENT ID"))</f>
        <v>Alpine Sun Tours Group</v>
      </c>
      <c r="D4" s="2" t="s">
        <v>522</v>
      </c>
      <c r="E4" s="2">
        <v>200</v>
      </c>
      <c r="F4" s="2" t="s">
        <v>195</v>
      </c>
      <c r="G4" s="2" t="s">
        <v>204</v>
      </c>
      <c r="H4" s="37">
        <f t="shared" ref="H4:H14" si="0">G4-F4</f>
        <v>7</v>
      </c>
      <c r="I4" s="2" t="s">
        <v>313</v>
      </c>
      <c r="J4" s="2">
        <v>90</v>
      </c>
      <c r="K4" s="37">
        <f t="shared" ref="K4:K67" si="1">IF(OR(E4="",H4="",J4=""),"",E4*H4*J4)</f>
        <v>126000</v>
      </c>
      <c r="L4" s="2">
        <v>53.35</v>
      </c>
      <c r="M4" s="37">
        <f t="shared" ref="M4:M14" si="2">K4*L4</f>
        <v>6722100</v>
      </c>
      <c r="N4" s="2" t="s">
        <v>523</v>
      </c>
      <c r="O4" s="2" t="s">
        <v>355</v>
      </c>
      <c r="P4" s="37">
        <f>IFERROR(INDEX(TB_Hotel_Accruals!$I$4:$I$1000,MATCH(A4,TB_Hotel_Accruals!$B$4:$B$1000,0)),0)</f>
        <v>5377680</v>
      </c>
    </row>
    <row r="5" spans="1:18" ht="18" customHeight="1" x14ac:dyDescent="0.35">
      <c r="A5" s="2" t="s">
        <v>524</v>
      </c>
      <c r="B5" s="2" t="s">
        <v>400</v>
      </c>
      <c r="C5" s="37" t="str">
        <f>IF(B5="","",IFERROR(INDEX(TB_Clients_Master!$B$4:$B$1000,MATCH(B5,TB_Clients_Master!$A$4:$A$1000,0)),"INVALID CLIENT ID"))</f>
        <v>Nordic Wave DMC</v>
      </c>
      <c r="D5" s="2" t="s">
        <v>525</v>
      </c>
      <c r="E5" s="2">
        <v>45</v>
      </c>
      <c r="F5" s="2" t="s">
        <v>198</v>
      </c>
      <c r="G5" s="2" t="s">
        <v>205</v>
      </c>
      <c r="H5" s="37">
        <f t="shared" si="0"/>
        <v>7</v>
      </c>
      <c r="I5" s="2" t="s">
        <v>277</v>
      </c>
      <c r="J5" s="2">
        <v>82</v>
      </c>
      <c r="K5" s="37">
        <f t="shared" si="1"/>
        <v>25830</v>
      </c>
      <c r="L5" s="2">
        <v>49.12</v>
      </c>
      <c r="M5" s="37">
        <f t="shared" si="2"/>
        <v>1268769.5999999999</v>
      </c>
      <c r="N5" s="2" t="s">
        <v>523</v>
      </c>
      <c r="O5" s="2" t="s">
        <v>358</v>
      </c>
      <c r="P5" s="37">
        <f>IFERROR(INDEX(TB_Hotel_Accruals!$I$4:$I$1000,MATCH(A5,TB_Hotel_Accruals!$B$4:$B$1000,0)),0)</f>
        <v>1005732</v>
      </c>
    </row>
    <row r="6" spans="1:18" ht="18" customHeight="1" x14ac:dyDescent="0.35">
      <c r="A6" s="2" t="s">
        <v>526</v>
      </c>
      <c r="B6" s="2" t="s">
        <v>406</v>
      </c>
      <c r="C6" s="37" t="str">
        <f>IF(B6="","",IFERROR(INDEX(TB_Clients_Master!$B$4:$B$1000,MATCH(B6,TB_Clients_Master!$A$4:$A$1000,0)),"INVALID CLIENT ID"))</f>
        <v>BritSun Holidays</v>
      </c>
      <c r="D6" s="2" t="s">
        <v>527</v>
      </c>
      <c r="E6" s="2">
        <v>30</v>
      </c>
      <c r="F6" s="2" t="s">
        <v>199</v>
      </c>
      <c r="G6" s="2" t="s">
        <v>206</v>
      </c>
      <c r="H6" s="37">
        <f t="shared" si="0"/>
        <v>7</v>
      </c>
      <c r="I6" s="2" t="s">
        <v>409</v>
      </c>
      <c r="J6" s="2">
        <v>78</v>
      </c>
      <c r="K6" s="37">
        <f t="shared" si="1"/>
        <v>16380</v>
      </c>
      <c r="L6" s="2">
        <v>62.3</v>
      </c>
      <c r="M6" s="37">
        <f t="shared" si="2"/>
        <v>1020474</v>
      </c>
      <c r="N6" s="2" t="s">
        <v>523</v>
      </c>
      <c r="O6" s="2" t="s">
        <v>361</v>
      </c>
      <c r="P6" s="37">
        <f>IFERROR(INDEX(TB_Hotel_Accruals!$I$4:$I$1000,MATCH(A6,TB_Hotel_Accruals!$B$4:$B$1000,0)),0)</f>
        <v>811146</v>
      </c>
    </row>
    <row r="7" spans="1:18" ht="18" customHeight="1" x14ac:dyDescent="0.35">
      <c r="A7" s="2" t="s">
        <v>528</v>
      </c>
      <c r="B7" s="2" t="s">
        <v>412</v>
      </c>
      <c r="C7" s="37" t="str">
        <f>IF(B7="","",IFERROR(INDEX(TB_Clients_Master!$B$4:$B$1000,MATCH(B7,TB_Clients_Master!$A$4:$A$1000,0)),"INVALID CLIENT ID"))</f>
        <v>Meridian Voyages</v>
      </c>
      <c r="D7" s="2" t="s">
        <v>529</v>
      </c>
      <c r="E7" s="2">
        <v>60</v>
      </c>
      <c r="F7" s="2" t="s">
        <v>195</v>
      </c>
      <c r="G7" s="2" t="s">
        <v>203</v>
      </c>
      <c r="H7" s="37">
        <f t="shared" si="0"/>
        <v>6</v>
      </c>
      <c r="I7" s="2" t="s">
        <v>313</v>
      </c>
      <c r="J7" s="2">
        <v>60</v>
      </c>
      <c r="K7" s="37">
        <f t="shared" si="1"/>
        <v>21600</v>
      </c>
      <c r="L7" s="2">
        <v>53.4</v>
      </c>
      <c r="M7" s="37">
        <f t="shared" si="2"/>
        <v>1153440</v>
      </c>
      <c r="N7" s="2" t="s">
        <v>523</v>
      </c>
      <c r="O7" s="2" t="s">
        <v>379</v>
      </c>
      <c r="P7" s="37">
        <f>IFERROR(INDEX(TB_Hotel_Accruals!$I$4:$I$1000,MATCH(A7,TB_Hotel_Accruals!$B$4:$B$1000,0)),0)</f>
        <v>922752</v>
      </c>
    </row>
    <row r="8" spans="1:18" ht="18" customHeight="1" x14ac:dyDescent="0.35">
      <c r="A8" s="2" t="s">
        <v>530</v>
      </c>
      <c r="B8" s="2" t="s">
        <v>418</v>
      </c>
      <c r="C8" s="37" t="str">
        <f>IF(B8="","",IFERROR(INDEX(TB_Clients_Master!$B$4:$B$1000,MATCH(B8,TB_Clients_Master!$A$4:$A$1000,0)),"INVALID CLIENT ID"))</f>
        <v>Red Sea Direct Bookings</v>
      </c>
      <c r="D8" s="2" t="s">
        <v>531</v>
      </c>
      <c r="E8" s="2">
        <v>12</v>
      </c>
      <c r="F8" s="2" t="s">
        <v>200</v>
      </c>
      <c r="G8" s="2" t="s">
        <v>205</v>
      </c>
      <c r="H8" s="37">
        <f t="shared" si="0"/>
        <v>5</v>
      </c>
      <c r="I8" s="2" t="s">
        <v>277</v>
      </c>
      <c r="J8" s="2">
        <v>53</v>
      </c>
      <c r="K8" s="37">
        <f t="shared" si="1"/>
        <v>3180</v>
      </c>
      <c r="L8" s="2">
        <v>49.12</v>
      </c>
      <c r="M8" s="37">
        <f t="shared" si="2"/>
        <v>156201.60000000001</v>
      </c>
      <c r="N8" s="2" t="s">
        <v>523</v>
      </c>
      <c r="O8" s="2" t="s">
        <v>382</v>
      </c>
      <c r="P8" s="37">
        <f>IFERROR(INDEX(TB_Hotel_Accruals!$I$4:$I$1000,MATCH(A8,TB_Hotel_Accruals!$B$4:$B$1000,0)),0)</f>
        <v>123782.39999999999</v>
      </c>
    </row>
    <row r="9" spans="1:18" ht="18" customHeight="1" x14ac:dyDescent="0.35">
      <c r="A9" s="2" t="s">
        <v>532</v>
      </c>
      <c r="B9" s="2" t="s">
        <v>439</v>
      </c>
      <c r="C9" s="37" t="str">
        <f>IF(B9="","",IFERROR(INDEX(TB_Clients_Master!$B$4:$B$1000,MATCH(B9,TB_Clients_Master!$A$4:$A$1000,0)),"INVALID CLIENT ID"))</f>
        <v>SunSeeker Travel</v>
      </c>
      <c r="D9" s="2" t="s">
        <v>533</v>
      </c>
      <c r="E9" s="2">
        <v>80</v>
      </c>
      <c r="F9" s="2" t="s">
        <v>208</v>
      </c>
      <c r="G9" s="2" t="s">
        <v>212</v>
      </c>
      <c r="H9" s="37">
        <f t="shared" si="0"/>
        <v>7</v>
      </c>
      <c r="I9" s="2" t="s">
        <v>313</v>
      </c>
      <c r="J9" s="2">
        <v>95</v>
      </c>
      <c r="K9" s="37">
        <f t="shared" si="1"/>
        <v>53200</v>
      </c>
      <c r="L9" s="2">
        <v>53.5</v>
      </c>
      <c r="M9" s="37">
        <f t="shared" si="2"/>
        <v>2846200</v>
      </c>
      <c r="N9" s="2" t="s">
        <v>534</v>
      </c>
      <c r="P9" s="37">
        <f>IFERROR(INDEX(TB_Hotel_Accruals!$I$4:$I$1000,MATCH(A9,TB_Hotel_Accruals!$B$4:$B$1000,0)),0)</f>
        <v>0</v>
      </c>
    </row>
    <row r="10" spans="1:18" ht="18" customHeight="1" x14ac:dyDescent="0.35">
      <c r="A10" s="2" t="s">
        <v>535</v>
      </c>
      <c r="B10" s="2" t="s">
        <v>422</v>
      </c>
      <c r="C10" s="37" t="str">
        <f>IF(B10="","",IFERROR(INDEX(TB_Clients_Master!$B$4:$B$1000,MATCH(B10,TB_Clients_Master!$A$4:$A$1000,0)),"INVALID CLIENT ID"))</f>
        <v>EuroSun Tours</v>
      </c>
      <c r="D10" s="2" t="s">
        <v>536</v>
      </c>
      <c r="E10" s="2">
        <v>200</v>
      </c>
      <c r="F10" s="2" t="s">
        <v>208</v>
      </c>
      <c r="G10" s="2" t="s">
        <v>212</v>
      </c>
      <c r="H10" s="37">
        <f t="shared" si="0"/>
        <v>7</v>
      </c>
      <c r="I10" s="2" t="s">
        <v>313</v>
      </c>
      <c r="J10" s="2">
        <v>95</v>
      </c>
      <c r="K10" s="37">
        <f t="shared" si="1"/>
        <v>133000</v>
      </c>
      <c r="L10" s="2">
        <v>54.2</v>
      </c>
      <c r="M10" s="37">
        <f t="shared" si="2"/>
        <v>7208600</v>
      </c>
      <c r="N10" s="2" t="s">
        <v>537</v>
      </c>
      <c r="O10" s="2" t="s">
        <v>364</v>
      </c>
      <c r="P10" s="37">
        <f>IFERROR(INDEX(TB_Hotel_Accruals!$I$4:$I$1000,MATCH(A10,TB_Hotel_Accruals!$B$4:$B$1000,0)),0)</f>
        <v>5766880</v>
      </c>
    </row>
    <row r="11" spans="1:18" ht="18" customHeight="1" x14ac:dyDescent="0.35">
      <c r="A11" s="2" t="s">
        <v>538</v>
      </c>
      <c r="B11" s="2" t="s">
        <v>426</v>
      </c>
      <c r="C11" s="37" t="str">
        <f>IF(B11="","",IFERROR(INDEX(TB_Clients_Master!$B$4:$B$1000,MATCH(B11,TB_Clients_Master!$A$4:$A$1000,0)),"INVALID CLIENT ID"))</f>
        <v>Nile Breeze</v>
      </c>
      <c r="D11" s="2" t="s">
        <v>539</v>
      </c>
      <c r="E11" s="2">
        <v>46</v>
      </c>
      <c r="F11" s="2" t="s">
        <v>208</v>
      </c>
      <c r="G11" s="2" t="s">
        <v>212</v>
      </c>
      <c r="H11" s="37">
        <f t="shared" si="0"/>
        <v>7</v>
      </c>
      <c r="I11" s="2" t="s">
        <v>277</v>
      </c>
      <c r="J11" s="2">
        <v>75</v>
      </c>
      <c r="K11" s="37">
        <f t="shared" si="1"/>
        <v>24150</v>
      </c>
      <c r="L11" s="2">
        <v>49.3</v>
      </c>
      <c r="M11" s="37">
        <f t="shared" si="2"/>
        <v>1190595</v>
      </c>
      <c r="N11" s="2" t="s">
        <v>537</v>
      </c>
      <c r="O11" s="2" t="s">
        <v>367</v>
      </c>
      <c r="P11" s="37">
        <f>IFERROR(INDEX(TB_Hotel_Accruals!$I$4:$I$1000,MATCH(A11,TB_Hotel_Accruals!$B$4:$B$1000,0)),0)</f>
        <v>952476</v>
      </c>
    </row>
    <row r="12" spans="1:18" ht="18" customHeight="1" x14ac:dyDescent="0.35">
      <c r="A12" s="2" t="s">
        <v>540</v>
      </c>
      <c r="B12" s="2" t="s">
        <v>430</v>
      </c>
      <c r="C12" s="37" t="str">
        <f>IF(B12="","",IFERROR(INDEX(TB_Clients_Master!$B$4:$B$1000,MATCH(B12,TB_Clients_Master!$A$4:$A$1000,0)),"INVALID CLIENT ID"))</f>
        <v>London Escape</v>
      </c>
      <c r="D12" s="2" t="s">
        <v>541</v>
      </c>
      <c r="E12" s="2">
        <v>32</v>
      </c>
      <c r="F12" s="2" t="s">
        <v>209</v>
      </c>
      <c r="G12" s="2" t="s">
        <v>213</v>
      </c>
      <c r="H12" s="37">
        <f t="shared" si="0"/>
        <v>8</v>
      </c>
      <c r="I12" s="2" t="s">
        <v>409</v>
      </c>
      <c r="J12" s="2">
        <v>85</v>
      </c>
      <c r="K12" s="37">
        <f t="shared" si="1"/>
        <v>21760</v>
      </c>
      <c r="L12" s="2">
        <v>63.25</v>
      </c>
      <c r="M12" s="37">
        <f t="shared" si="2"/>
        <v>1376320</v>
      </c>
      <c r="N12" s="2" t="s">
        <v>537</v>
      </c>
      <c r="O12" s="2" t="s">
        <v>370</v>
      </c>
      <c r="P12" s="37">
        <f>IFERROR(INDEX(TB_Hotel_Accruals!$I$4:$I$1000,MATCH(A12,TB_Hotel_Accruals!$B$4:$B$1000,0)),0)</f>
        <v>1101056</v>
      </c>
    </row>
    <row r="13" spans="1:18" ht="18" customHeight="1" x14ac:dyDescent="0.35">
      <c r="A13" s="2" t="s">
        <v>542</v>
      </c>
      <c r="B13" s="2" t="s">
        <v>434</v>
      </c>
      <c r="C13" s="37" t="str">
        <f>IF(B13="","",IFERROR(INDEX(TB_Clients_Master!$B$4:$B$1000,MATCH(B13,TB_Clients_Master!$A$4:$A$1000,0)),"INVALID CLIENT ID"))</f>
        <v>Gulf Adventures</v>
      </c>
      <c r="D13" s="2" t="s">
        <v>543</v>
      </c>
      <c r="E13" s="2">
        <v>120</v>
      </c>
      <c r="F13" s="2" t="s">
        <v>210</v>
      </c>
      <c r="G13" s="2" t="s">
        <v>212</v>
      </c>
      <c r="H13" s="37">
        <f t="shared" si="0"/>
        <v>5</v>
      </c>
      <c r="I13" s="2" t="s">
        <v>277</v>
      </c>
      <c r="J13" s="2">
        <v>70</v>
      </c>
      <c r="K13" s="37">
        <f t="shared" si="1"/>
        <v>42000</v>
      </c>
      <c r="L13" s="2">
        <v>49.3</v>
      </c>
      <c r="M13" s="37">
        <f t="shared" si="2"/>
        <v>2070599.9999999998</v>
      </c>
      <c r="N13" s="2" t="s">
        <v>537</v>
      </c>
      <c r="O13" s="2" t="s">
        <v>373</v>
      </c>
      <c r="P13" s="37">
        <f>IFERROR(INDEX(TB_Hotel_Accruals!$I$4:$I$1000,MATCH(A13,TB_Hotel_Accruals!$B$4:$B$1000,0)),0)</f>
        <v>1656480</v>
      </c>
    </row>
    <row r="14" spans="1:18" ht="18" customHeight="1" x14ac:dyDescent="0.35">
      <c r="A14" s="2" t="s">
        <v>544</v>
      </c>
      <c r="B14" s="2" t="s">
        <v>418</v>
      </c>
      <c r="C14" s="37" t="str">
        <f>IF(B14="","",IFERROR(INDEX(TB_Clients_Master!$B$4:$B$1000,MATCH(B14,TB_Clients_Master!$A$4:$A$1000,0)),"INVALID CLIENT ID"))</f>
        <v>Red Sea Direct Bookings</v>
      </c>
      <c r="D14" s="2" t="s">
        <v>545</v>
      </c>
      <c r="E14" s="2">
        <v>85</v>
      </c>
      <c r="F14" s="2" t="s">
        <v>211</v>
      </c>
      <c r="G14" s="2" t="s">
        <v>214</v>
      </c>
      <c r="H14" s="37">
        <f t="shared" si="0"/>
        <v>7</v>
      </c>
      <c r="I14" s="2" t="s">
        <v>313</v>
      </c>
      <c r="J14" s="2">
        <v>65</v>
      </c>
      <c r="K14" s="37">
        <f t="shared" si="1"/>
        <v>38675</v>
      </c>
      <c r="L14" s="2">
        <v>54.4</v>
      </c>
      <c r="M14" s="37">
        <f t="shared" si="2"/>
        <v>2103920</v>
      </c>
      <c r="N14" s="2" t="s">
        <v>537</v>
      </c>
      <c r="O14" s="2" t="s">
        <v>376</v>
      </c>
      <c r="P14" s="37">
        <f>IFERROR(INDEX(TB_Hotel_Accruals!$I$4:$I$1000,MATCH(A14,TB_Hotel_Accruals!$B$4:$B$1000,0)),0)</f>
        <v>1683136</v>
      </c>
    </row>
    <row r="15" spans="1:18" ht="18" customHeight="1" x14ac:dyDescent="0.35">
      <c r="C15" s="37" t="str">
        <f>IF(B15="","",IFERROR(INDEX(TB_Clients_Master!$B$4:$B$1000,MATCH(B15,TB_Clients_Master!$A$4:$A$1000,0)),"INVALID CLIENT ID"))</f>
        <v/>
      </c>
      <c r="K15" s="37" t="str">
        <f t="shared" si="1"/>
        <v/>
      </c>
      <c r="P15" s="37">
        <f>IFERROR(INDEX(TB_Hotel_Accruals!$I$4:$I$1000,MATCH(A15,TB_Hotel_Accruals!$B$4:$B$1000,0)),0)</f>
        <v>0</v>
      </c>
    </row>
    <row r="16" spans="1:18" ht="18" customHeight="1" x14ac:dyDescent="0.35">
      <c r="C16" s="37" t="str">
        <f>IF(B16="","",IFERROR(INDEX(TB_Clients_Master!$B$4:$B$1000,MATCH(B16,TB_Clients_Master!$A$4:$A$1000,0)),"INVALID CLIENT ID"))</f>
        <v/>
      </c>
      <c r="K16" s="37" t="str">
        <f t="shared" si="1"/>
        <v/>
      </c>
      <c r="P16" s="37">
        <f>IFERROR(INDEX(TB_Hotel_Accruals!$I$4:$I$1000,MATCH(A16,TB_Hotel_Accruals!$B$4:$B$1000,0)),0)</f>
        <v>0</v>
      </c>
    </row>
    <row r="17" spans="3:16" ht="18" customHeight="1" x14ac:dyDescent="0.35">
      <c r="C17" s="37" t="str">
        <f>IF(B17="","",IFERROR(INDEX(TB_Clients_Master!$B$4:$B$1000,MATCH(B17,TB_Clients_Master!$A$4:$A$1000,0)),"INVALID CLIENT ID"))</f>
        <v/>
      </c>
      <c r="K17" s="37" t="str">
        <f t="shared" si="1"/>
        <v/>
      </c>
      <c r="P17" s="37">
        <f>IFERROR(INDEX(TB_Hotel_Accruals!$I$4:$I$1000,MATCH(A17,TB_Hotel_Accruals!$B$4:$B$1000,0)),0)</f>
        <v>0</v>
      </c>
    </row>
    <row r="18" spans="3:16" ht="18" customHeight="1" x14ac:dyDescent="0.35">
      <c r="C18" s="37" t="str">
        <f>IF(B18="","",IFERROR(INDEX(TB_Clients_Master!$B$4:$B$1000,MATCH(B18,TB_Clients_Master!$A$4:$A$1000,0)),"INVALID CLIENT ID"))</f>
        <v/>
      </c>
      <c r="K18" s="37" t="str">
        <f t="shared" si="1"/>
        <v/>
      </c>
      <c r="P18" s="37">
        <f>IFERROR(INDEX(TB_Hotel_Accruals!$I$4:$I$1000,MATCH(A18,TB_Hotel_Accruals!$B$4:$B$1000,0)),0)</f>
        <v>0</v>
      </c>
    </row>
    <row r="19" spans="3:16" ht="18" customHeight="1" x14ac:dyDescent="0.35">
      <c r="C19" s="37" t="str">
        <f>IF(B19="","",IFERROR(INDEX(TB_Clients_Master!$B$4:$B$1000,MATCH(B19,TB_Clients_Master!$A$4:$A$1000,0)),"INVALID CLIENT ID"))</f>
        <v/>
      </c>
      <c r="K19" s="37" t="str">
        <f t="shared" si="1"/>
        <v/>
      </c>
      <c r="P19" s="37">
        <f>IFERROR(INDEX(TB_Hotel_Accruals!$I$4:$I$1000,MATCH(A19,TB_Hotel_Accruals!$B$4:$B$1000,0)),0)</f>
        <v>0</v>
      </c>
    </row>
    <row r="20" spans="3:16" ht="18" customHeight="1" x14ac:dyDescent="0.35">
      <c r="K20" s="37" t="str">
        <f t="shared" si="1"/>
        <v/>
      </c>
    </row>
    <row r="21" spans="3:16" ht="18" customHeight="1" x14ac:dyDescent="0.35">
      <c r="K21" s="37" t="str">
        <f t="shared" si="1"/>
        <v/>
      </c>
    </row>
    <row r="22" spans="3:16" ht="18" customHeight="1" x14ac:dyDescent="0.35">
      <c r="K22" s="37" t="str">
        <f t="shared" si="1"/>
        <v/>
      </c>
    </row>
    <row r="23" spans="3:16" ht="18" customHeight="1" x14ac:dyDescent="0.35">
      <c r="K23" s="37" t="str">
        <f t="shared" si="1"/>
        <v/>
      </c>
    </row>
    <row r="24" spans="3:16" ht="18" customHeight="1" x14ac:dyDescent="0.35">
      <c r="K24" s="37" t="str">
        <f t="shared" si="1"/>
        <v/>
      </c>
    </row>
    <row r="25" spans="3:16" ht="18" customHeight="1" x14ac:dyDescent="0.35">
      <c r="K25" s="37" t="str">
        <f t="shared" si="1"/>
        <v/>
      </c>
    </row>
    <row r="26" spans="3:16" ht="18" customHeight="1" x14ac:dyDescent="0.35">
      <c r="K26" s="37" t="str">
        <f t="shared" si="1"/>
        <v/>
      </c>
    </row>
    <row r="27" spans="3:16" ht="18" customHeight="1" x14ac:dyDescent="0.35">
      <c r="K27" s="37" t="str">
        <f t="shared" si="1"/>
        <v/>
      </c>
    </row>
    <row r="28" spans="3:16" ht="18" customHeight="1" x14ac:dyDescent="0.35">
      <c r="K28" s="37" t="str">
        <f t="shared" si="1"/>
        <v/>
      </c>
    </row>
    <row r="29" spans="3:16" ht="18" customHeight="1" x14ac:dyDescent="0.35">
      <c r="K29" s="37" t="str">
        <f t="shared" si="1"/>
        <v/>
      </c>
    </row>
    <row r="30" spans="3:16" ht="18" customHeight="1" x14ac:dyDescent="0.35">
      <c r="K30" s="37" t="str">
        <f t="shared" si="1"/>
        <v/>
      </c>
    </row>
    <row r="31" spans="3:16" ht="18" customHeight="1" x14ac:dyDescent="0.35">
      <c r="K31" s="37" t="str">
        <f t="shared" si="1"/>
        <v/>
      </c>
    </row>
    <row r="32" spans="3:16" ht="18" customHeight="1" x14ac:dyDescent="0.35">
      <c r="K32" s="37" t="str">
        <f t="shared" si="1"/>
        <v/>
      </c>
    </row>
    <row r="33" spans="11:11" ht="18" customHeight="1" x14ac:dyDescent="0.35">
      <c r="K33" s="37" t="str">
        <f t="shared" si="1"/>
        <v/>
      </c>
    </row>
    <row r="34" spans="11:11" ht="18" customHeight="1" x14ac:dyDescent="0.35">
      <c r="K34" s="37" t="str">
        <f t="shared" si="1"/>
        <v/>
      </c>
    </row>
    <row r="35" spans="11:11" ht="18" customHeight="1" x14ac:dyDescent="0.35">
      <c r="K35" s="37" t="str">
        <f t="shared" si="1"/>
        <v/>
      </c>
    </row>
    <row r="36" spans="11:11" ht="18" customHeight="1" x14ac:dyDescent="0.35">
      <c r="K36" s="37" t="str">
        <f t="shared" si="1"/>
        <v/>
      </c>
    </row>
    <row r="37" spans="11:11" ht="18" customHeight="1" x14ac:dyDescent="0.35">
      <c r="K37" s="37" t="str">
        <f t="shared" si="1"/>
        <v/>
      </c>
    </row>
    <row r="38" spans="11:11" ht="18" customHeight="1" x14ac:dyDescent="0.35">
      <c r="K38" s="37" t="str">
        <f t="shared" si="1"/>
        <v/>
      </c>
    </row>
    <row r="39" spans="11:11" ht="18" customHeight="1" x14ac:dyDescent="0.35">
      <c r="K39" s="37" t="str">
        <f t="shared" si="1"/>
        <v/>
      </c>
    </row>
    <row r="40" spans="11:11" ht="18" customHeight="1" x14ac:dyDescent="0.35">
      <c r="K40" s="37" t="str">
        <f t="shared" si="1"/>
        <v/>
      </c>
    </row>
    <row r="41" spans="11:11" ht="18" customHeight="1" x14ac:dyDescent="0.35">
      <c r="K41" s="37" t="str">
        <f t="shared" si="1"/>
        <v/>
      </c>
    </row>
    <row r="42" spans="11:11" ht="18" customHeight="1" x14ac:dyDescent="0.35">
      <c r="K42" s="37" t="str">
        <f t="shared" si="1"/>
        <v/>
      </c>
    </row>
    <row r="43" spans="11:11" ht="18" customHeight="1" x14ac:dyDescent="0.35">
      <c r="K43" s="37" t="str">
        <f t="shared" si="1"/>
        <v/>
      </c>
    </row>
    <row r="44" spans="11:11" ht="18" customHeight="1" x14ac:dyDescent="0.35">
      <c r="K44" s="37" t="str">
        <f t="shared" si="1"/>
        <v/>
      </c>
    </row>
    <row r="45" spans="11:11" ht="18" customHeight="1" x14ac:dyDescent="0.35">
      <c r="K45" s="37" t="str">
        <f t="shared" si="1"/>
        <v/>
      </c>
    </row>
    <row r="46" spans="11:11" ht="18" customHeight="1" x14ac:dyDescent="0.35">
      <c r="K46" s="37" t="str">
        <f t="shared" si="1"/>
        <v/>
      </c>
    </row>
    <row r="47" spans="11:11" ht="18" customHeight="1" x14ac:dyDescent="0.35">
      <c r="K47" s="37" t="str">
        <f t="shared" si="1"/>
        <v/>
      </c>
    </row>
    <row r="48" spans="11:11" ht="18" customHeight="1" x14ac:dyDescent="0.35">
      <c r="K48" s="37" t="str">
        <f t="shared" si="1"/>
        <v/>
      </c>
    </row>
    <row r="49" spans="11:11" ht="18" customHeight="1" x14ac:dyDescent="0.35">
      <c r="K49" s="37" t="str">
        <f t="shared" si="1"/>
        <v/>
      </c>
    </row>
    <row r="50" spans="11:11" ht="18" customHeight="1" x14ac:dyDescent="0.35">
      <c r="K50" s="37" t="str">
        <f t="shared" si="1"/>
        <v/>
      </c>
    </row>
    <row r="51" spans="11:11" ht="18" customHeight="1" x14ac:dyDescent="0.35">
      <c r="K51" s="37" t="str">
        <f t="shared" si="1"/>
        <v/>
      </c>
    </row>
    <row r="52" spans="11:11" ht="18" customHeight="1" x14ac:dyDescent="0.35">
      <c r="K52" s="37" t="str">
        <f t="shared" si="1"/>
        <v/>
      </c>
    </row>
    <row r="53" spans="11:11" ht="18" customHeight="1" x14ac:dyDescent="0.35">
      <c r="K53" s="37" t="str">
        <f t="shared" si="1"/>
        <v/>
      </c>
    </row>
    <row r="54" spans="11:11" ht="18" customHeight="1" x14ac:dyDescent="0.35">
      <c r="K54" s="37" t="str">
        <f t="shared" si="1"/>
        <v/>
      </c>
    </row>
    <row r="55" spans="11:11" ht="18" customHeight="1" x14ac:dyDescent="0.35">
      <c r="K55" s="37" t="str">
        <f t="shared" si="1"/>
        <v/>
      </c>
    </row>
    <row r="56" spans="11:11" ht="18" customHeight="1" x14ac:dyDescent="0.35">
      <c r="K56" s="37" t="str">
        <f t="shared" si="1"/>
        <v/>
      </c>
    </row>
    <row r="57" spans="11:11" ht="18" customHeight="1" x14ac:dyDescent="0.35">
      <c r="K57" s="37" t="str">
        <f t="shared" si="1"/>
        <v/>
      </c>
    </row>
    <row r="58" spans="11:11" ht="18" customHeight="1" x14ac:dyDescent="0.35">
      <c r="K58" s="37" t="str">
        <f t="shared" si="1"/>
        <v/>
      </c>
    </row>
    <row r="59" spans="11:11" ht="18" customHeight="1" x14ac:dyDescent="0.35">
      <c r="K59" s="37" t="str">
        <f t="shared" si="1"/>
        <v/>
      </c>
    </row>
    <row r="60" spans="11:11" ht="18" customHeight="1" x14ac:dyDescent="0.35">
      <c r="K60" s="37" t="str">
        <f t="shared" si="1"/>
        <v/>
      </c>
    </row>
    <row r="61" spans="11:11" ht="18" customHeight="1" x14ac:dyDescent="0.35">
      <c r="K61" s="37" t="str">
        <f t="shared" si="1"/>
        <v/>
      </c>
    </row>
    <row r="62" spans="11:11" ht="18" customHeight="1" x14ac:dyDescent="0.35">
      <c r="K62" s="37" t="str">
        <f t="shared" si="1"/>
        <v/>
      </c>
    </row>
    <row r="63" spans="11:11" ht="18" customHeight="1" x14ac:dyDescent="0.35">
      <c r="K63" s="37" t="str">
        <f t="shared" si="1"/>
        <v/>
      </c>
    </row>
    <row r="64" spans="11:11" ht="18" customHeight="1" x14ac:dyDescent="0.35">
      <c r="K64" s="37" t="str">
        <f t="shared" si="1"/>
        <v/>
      </c>
    </row>
    <row r="65" spans="11:11" ht="18" customHeight="1" x14ac:dyDescent="0.35">
      <c r="K65" s="37" t="str">
        <f t="shared" si="1"/>
        <v/>
      </c>
    </row>
    <row r="66" spans="11:11" ht="18" customHeight="1" x14ac:dyDescent="0.35">
      <c r="K66" s="37" t="str">
        <f t="shared" si="1"/>
        <v/>
      </c>
    </row>
    <row r="67" spans="11:11" ht="18" customHeight="1" x14ac:dyDescent="0.35">
      <c r="K67" s="37" t="str">
        <f t="shared" si="1"/>
        <v/>
      </c>
    </row>
    <row r="68" spans="11:11" ht="18" customHeight="1" x14ac:dyDescent="0.35">
      <c r="K68" s="37" t="str">
        <f t="shared" ref="K68:K131" si="3">IF(OR(E68="",H68="",J68=""),"",E68*H68*J68)</f>
        <v/>
      </c>
    </row>
    <row r="69" spans="11:11" ht="18" customHeight="1" x14ac:dyDescent="0.35">
      <c r="K69" s="37" t="str">
        <f t="shared" si="3"/>
        <v/>
      </c>
    </row>
    <row r="70" spans="11:11" ht="18" customHeight="1" x14ac:dyDescent="0.35">
      <c r="K70" s="37" t="str">
        <f t="shared" si="3"/>
        <v/>
      </c>
    </row>
    <row r="71" spans="11:11" ht="18" customHeight="1" x14ac:dyDescent="0.35">
      <c r="K71" s="37" t="str">
        <f t="shared" si="3"/>
        <v/>
      </c>
    </row>
    <row r="72" spans="11:11" ht="18" customHeight="1" x14ac:dyDescent="0.35">
      <c r="K72" s="37" t="str">
        <f t="shared" si="3"/>
        <v/>
      </c>
    </row>
    <row r="73" spans="11:11" ht="18" customHeight="1" x14ac:dyDescent="0.35">
      <c r="K73" s="37" t="str">
        <f t="shared" si="3"/>
        <v/>
      </c>
    </row>
    <row r="74" spans="11:11" ht="18" customHeight="1" x14ac:dyDescent="0.35">
      <c r="K74" s="37" t="str">
        <f t="shared" si="3"/>
        <v/>
      </c>
    </row>
    <row r="75" spans="11:11" ht="18" customHeight="1" x14ac:dyDescent="0.35">
      <c r="K75" s="37" t="str">
        <f t="shared" si="3"/>
        <v/>
      </c>
    </row>
    <row r="76" spans="11:11" ht="18" customHeight="1" x14ac:dyDescent="0.35">
      <c r="K76" s="37" t="str">
        <f t="shared" si="3"/>
        <v/>
      </c>
    </row>
    <row r="77" spans="11:11" ht="18" customHeight="1" x14ac:dyDescent="0.35">
      <c r="K77" s="37" t="str">
        <f t="shared" si="3"/>
        <v/>
      </c>
    </row>
    <row r="78" spans="11:11" ht="18" customHeight="1" x14ac:dyDescent="0.35">
      <c r="K78" s="37" t="str">
        <f t="shared" si="3"/>
        <v/>
      </c>
    </row>
    <row r="79" spans="11:11" ht="18" customHeight="1" x14ac:dyDescent="0.35">
      <c r="K79" s="37" t="str">
        <f t="shared" si="3"/>
        <v/>
      </c>
    </row>
    <row r="80" spans="11:11" ht="18" customHeight="1" x14ac:dyDescent="0.35">
      <c r="K80" s="37" t="str">
        <f t="shared" si="3"/>
        <v/>
      </c>
    </row>
    <row r="81" spans="11:11" ht="18" customHeight="1" x14ac:dyDescent="0.35">
      <c r="K81" s="37" t="str">
        <f t="shared" si="3"/>
        <v/>
      </c>
    </row>
    <row r="82" spans="11:11" ht="18" customHeight="1" x14ac:dyDescent="0.35">
      <c r="K82" s="37" t="str">
        <f t="shared" si="3"/>
        <v/>
      </c>
    </row>
    <row r="83" spans="11:11" ht="18" customHeight="1" x14ac:dyDescent="0.35">
      <c r="K83" s="37" t="str">
        <f t="shared" si="3"/>
        <v/>
      </c>
    </row>
    <row r="84" spans="11:11" ht="18" customHeight="1" x14ac:dyDescent="0.35">
      <c r="K84" s="37" t="str">
        <f t="shared" si="3"/>
        <v/>
      </c>
    </row>
    <row r="85" spans="11:11" ht="18" customHeight="1" x14ac:dyDescent="0.35">
      <c r="K85" s="37" t="str">
        <f t="shared" si="3"/>
        <v/>
      </c>
    </row>
    <row r="86" spans="11:11" ht="18" customHeight="1" x14ac:dyDescent="0.35">
      <c r="K86" s="37" t="str">
        <f t="shared" si="3"/>
        <v/>
      </c>
    </row>
    <row r="87" spans="11:11" ht="18" customHeight="1" x14ac:dyDescent="0.35">
      <c r="K87" s="37" t="str">
        <f t="shared" si="3"/>
        <v/>
      </c>
    </row>
    <row r="88" spans="11:11" ht="18" customHeight="1" x14ac:dyDescent="0.35">
      <c r="K88" s="37" t="str">
        <f t="shared" si="3"/>
        <v/>
      </c>
    </row>
    <row r="89" spans="11:11" ht="18" customHeight="1" x14ac:dyDescent="0.35">
      <c r="K89" s="37" t="str">
        <f t="shared" si="3"/>
        <v/>
      </c>
    </row>
    <row r="90" spans="11:11" ht="18" customHeight="1" x14ac:dyDescent="0.35">
      <c r="K90" s="37" t="str">
        <f t="shared" si="3"/>
        <v/>
      </c>
    </row>
    <row r="91" spans="11:11" ht="18" customHeight="1" x14ac:dyDescent="0.35">
      <c r="K91" s="37" t="str">
        <f t="shared" si="3"/>
        <v/>
      </c>
    </row>
    <row r="92" spans="11:11" ht="18" customHeight="1" x14ac:dyDescent="0.35">
      <c r="K92" s="37" t="str">
        <f t="shared" si="3"/>
        <v/>
      </c>
    </row>
    <row r="93" spans="11:11" ht="18" customHeight="1" x14ac:dyDescent="0.35">
      <c r="K93" s="37" t="str">
        <f t="shared" si="3"/>
        <v/>
      </c>
    </row>
    <row r="94" spans="11:11" ht="18" customHeight="1" x14ac:dyDescent="0.35">
      <c r="K94" s="37" t="str">
        <f t="shared" si="3"/>
        <v/>
      </c>
    </row>
    <row r="95" spans="11:11" ht="18" customHeight="1" x14ac:dyDescent="0.35">
      <c r="K95" s="37" t="str">
        <f t="shared" si="3"/>
        <v/>
      </c>
    </row>
    <row r="96" spans="11:11" ht="18" customHeight="1" x14ac:dyDescent="0.35">
      <c r="K96" s="37" t="str">
        <f t="shared" si="3"/>
        <v/>
      </c>
    </row>
    <row r="97" spans="11:11" ht="18" customHeight="1" x14ac:dyDescent="0.35">
      <c r="K97" s="37" t="str">
        <f t="shared" si="3"/>
        <v/>
      </c>
    </row>
    <row r="98" spans="11:11" ht="18" customHeight="1" x14ac:dyDescent="0.35">
      <c r="K98" s="37" t="str">
        <f t="shared" si="3"/>
        <v/>
      </c>
    </row>
    <row r="99" spans="11:11" ht="18" customHeight="1" x14ac:dyDescent="0.35">
      <c r="K99" s="37" t="str">
        <f t="shared" si="3"/>
        <v/>
      </c>
    </row>
    <row r="100" spans="11:11" ht="18" customHeight="1" x14ac:dyDescent="0.35">
      <c r="K100" s="37" t="str">
        <f t="shared" si="3"/>
        <v/>
      </c>
    </row>
    <row r="101" spans="11:11" ht="18" customHeight="1" x14ac:dyDescent="0.35">
      <c r="K101" s="37" t="str">
        <f t="shared" si="3"/>
        <v/>
      </c>
    </row>
    <row r="102" spans="11:11" ht="18" customHeight="1" x14ac:dyDescent="0.35">
      <c r="K102" s="37" t="str">
        <f t="shared" si="3"/>
        <v/>
      </c>
    </row>
    <row r="103" spans="11:11" ht="18" customHeight="1" x14ac:dyDescent="0.35">
      <c r="K103" s="37" t="str">
        <f t="shared" si="3"/>
        <v/>
      </c>
    </row>
    <row r="104" spans="11:11" ht="18" customHeight="1" x14ac:dyDescent="0.35">
      <c r="K104" s="37" t="str">
        <f t="shared" si="3"/>
        <v/>
      </c>
    </row>
    <row r="105" spans="11:11" ht="18" customHeight="1" x14ac:dyDescent="0.35">
      <c r="K105" s="37" t="str">
        <f t="shared" si="3"/>
        <v/>
      </c>
    </row>
    <row r="106" spans="11:11" ht="18" customHeight="1" x14ac:dyDescent="0.35">
      <c r="K106" s="37" t="str">
        <f t="shared" si="3"/>
        <v/>
      </c>
    </row>
    <row r="107" spans="11:11" ht="18" customHeight="1" x14ac:dyDescent="0.35">
      <c r="K107" s="37" t="str">
        <f t="shared" si="3"/>
        <v/>
      </c>
    </row>
    <row r="108" spans="11:11" ht="18" customHeight="1" x14ac:dyDescent="0.35">
      <c r="K108" s="37" t="str">
        <f t="shared" si="3"/>
        <v/>
      </c>
    </row>
    <row r="109" spans="11:11" ht="18" customHeight="1" x14ac:dyDescent="0.35">
      <c r="K109" s="37" t="str">
        <f t="shared" si="3"/>
        <v/>
      </c>
    </row>
    <row r="110" spans="11:11" ht="18" customHeight="1" x14ac:dyDescent="0.35">
      <c r="K110" s="37" t="str">
        <f t="shared" si="3"/>
        <v/>
      </c>
    </row>
    <row r="111" spans="11:11" ht="18" customHeight="1" x14ac:dyDescent="0.35">
      <c r="K111" s="37" t="str">
        <f t="shared" si="3"/>
        <v/>
      </c>
    </row>
    <row r="112" spans="11:11" ht="18" customHeight="1" x14ac:dyDescent="0.35">
      <c r="K112" s="37" t="str">
        <f t="shared" si="3"/>
        <v/>
      </c>
    </row>
    <row r="113" spans="11:11" ht="18" customHeight="1" x14ac:dyDescent="0.35">
      <c r="K113" s="37" t="str">
        <f t="shared" si="3"/>
        <v/>
      </c>
    </row>
    <row r="114" spans="11:11" ht="18" customHeight="1" x14ac:dyDescent="0.35">
      <c r="K114" s="37" t="str">
        <f t="shared" si="3"/>
        <v/>
      </c>
    </row>
    <row r="115" spans="11:11" ht="18" customHeight="1" x14ac:dyDescent="0.35">
      <c r="K115" s="37" t="str">
        <f t="shared" si="3"/>
        <v/>
      </c>
    </row>
    <row r="116" spans="11:11" ht="18" customHeight="1" x14ac:dyDescent="0.35">
      <c r="K116" s="37" t="str">
        <f t="shared" si="3"/>
        <v/>
      </c>
    </row>
    <row r="117" spans="11:11" ht="18" customHeight="1" x14ac:dyDescent="0.35">
      <c r="K117" s="37" t="str">
        <f t="shared" si="3"/>
        <v/>
      </c>
    </row>
    <row r="118" spans="11:11" ht="18" customHeight="1" x14ac:dyDescent="0.35">
      <c r="K118" s="37" t="str">
        <f t="shared" si="3"/>
        <v/>
      </c>
    </row>
    <row r="119" spans="11:11" ht="18" customHeight="1" x14ac:dyDescent="0.35">
      <c r="K119" s="37" t="str">
        <f t="shared" si="3"/>
        <v/>
      </c>
    </row>
    <row r="120" spans="11:11" ht="18" customHeight="1" x14ac:dyDescent="0.35">
      <c r="K120" s="37" t="str">
        <f t="shared" si="3"/>
        <v/>
      </c>
    </row>
    <row r="121" spans="11:11" ht="18" customHeight="1" x14ac:dyDescent="0.35">
      <c r="K121" s="37" t="str">
        <f t="shared" si="3"/>
        <v/>
      </c>
    </row>
    <row r="122" spans="11:11" ht="18" customHeight="1" x14ac:dyDescent="0.35">
      <c r="K122" s="37" t="str">
        <f t="shared" si="3"/>
        <v/>
      </c>
    </row>
    <row r="123" spans="11:11" ht="18" customHeight="1" x14ac:dyDescent="0.35">
      <c r="K123" s="37" t="str">
        <f t="shared" si="3"/>
        <v/>
      </c>
    </row>
    <row r="124" spans="11:11" ht="18" customHeight="1" x14ac:dyDescent="0.35">
      <c r="K124" s="37" t="str">
        <f t="shared" si="3"/>
        <v/>
      </c>
    </row>
    <row r="125" spans="11:11" ht="18" customHeight="1" x14ac:dyDescent="0.35">
      <c r="K125" s="37" t="str">
        <f t="shared" si="3"/>
        <v/>
      </c>
    </row>
    <row r="126" spans="11:11" ht="18" customHeight="1" x14ac:dyDescent="0.35">
      <c r="K126" s="37" t="str">
        <f t="shared" si="3"/>
        <v/>
      </c>
    </row>
    <row r="127" spans="11:11" ht="18" customHeight="1" x14ac:dyDescent="0.35">
      <c r="K127" s="37" t="str">
        <f t="shared" si="3"/>
        <v/>
      </c>
    </row>
    <row r="128" spans="11:11" ht="18" customHeight="1" x14ac:dyDescent="0.35">
      <c r="K128" s="37" t="str">
        <f t="shared" si="3"/>
        <v/>
      </c>
    </row>
    <row r="129" spans="11:11" ht="18" customHeight="1" x14ac:dyDescent="0.35">
      <c r="K129" s="37" t="str">
        <f t="shared" si="3"/>
        <v/>
      </c>
    </row>
    <row r="130" spans="11:11" ht="18" customHeight="1" x14ac:dyDescent="0.35">
      <c r="K130" s="37" t="str">
        <f t="shared" si="3"/>
        <v/>
      </c>
    </row>
    <row r="131" spans="11:11" ht="18" customHeight="1" x14ac:dyDescent="0.35">
      <c r="K131" s="37" t="str">
        <f t="shared" si="3"/>
        <v/>
      </c>
    </row>
    <row r="132" spans="11:11" ht="18" customHeight="1" x14ac:dyDescent="0.35">
      <c r="K132" s="37" t="str">
        <f t="shared" ref="K132:K195" si="4">IF(OR(E132="",H132="",J132=""),"",E132*H132*J132)</f>
        <v/>
      </c>
    </row>
    <row r="133" spans="11:11" ht="18" customHeight="1" x14ac:dyDescent="0.35">
      <c r="K133" s="37" t="str">
        <f t="shared" si="4"/>
        <v/>
      </c>
    </row>
    <row r="134" spans="11:11" ht="18" customHeight="1" x14ac:dyDescent="0.35">
      <c r="K134" s="37" t="str">
        <f t="shared" si="4"/>
        <v/>
      </c>
    </row>
    <row r="135" spans="11:11" ht="18" customHeight="1" x14ac:dyDescent="0.35">
      <c r="K135" s="37" t="str">
        <f t="shared" si="4"/>
        <v/>
      </c>
    </row>
    <row r="136" spans="11:11" ht="18" customHeight="1" x14ac:dyDescent="0.35">
      <c r="K136" s="37" t="str">
        <f t="shared" si="4"/>
        <v/>
      </c>
    </row>
    <row r="137" spans="11:11" ht="18" customHeight="1" x14ac:dyDescent="0.35">
      <c r="K137" s="37" t="str">
        <f t="shared" si="4"/>
        <v/>
      </c>
    </row>
    <row r="138" spans="11:11" ht="18" customHeight="1" x14ac:dyDescent="0.35">
      <c r="K138" s="37" t="str">
        <f t="shared" si="4"/>
        <v/>
      </c>
    </row>
    <row r="139" spans="11:11" ht="18" customHeight="1" x14ac:dyDescent="0.35">
      <c r="K139" s="37" t="str">
        <f t="shared" si="4"/>
        <v/>
      </c>
    </row>
    <row r="140" spans="11:11" ht="18" customHeight="1" x14ac:dyDescent="0.35">
      <c r="K140" s="37" t="str">
        <f t="shared" si="4"/>
        <v/>
      </c>
    </row>
    <row r="141" spans="11:11" ht="18" customHeight="1" x14ac:dyDescent="0.35">
      <c r="K141" s="37" t="str">
        <f t="shared" si="4"/>
        <v/>
      </c>
    </row>
    <row r="142" spans="11:11" ht="18" customHeight="1" x14ac:dyDescent="0.35">
      <c r="K142" s="37" t="str">
        <f t="shared" si="4"/>
        <v/>
      </c>
    </row>
    <row r="143" spans="11:11" ht="18" customHeight="1" x14ac:dyDescent="0.35">
      <c r="K143" s="37" t="str">
        <f t="shared" si="4"/>
        <v/>
      </c>
    </row>
    <row r="144" spans="11:11" ht="18" customHeight="1" x14ac:dyDescent="0.35">
      <c r="K144" s="37" t="str">
        <f t="shared" si="4"/>
        <v/>
      </c>
    </row>
    <row r="145" spans="11:11" ht="18" customHeight="1" x14ac:dyDescent="0.35">
      <c r="K145" s="37" t="str">
        <f t="shared" si="4"/>
        <v/>
      </c>
    </row>
    <row r="146" spans="11:11" ht="18" customHeight="1" x14ac:dyDescent="0.35">
      <c r="K146" s="37" t="str">
        <f t="shared" si="4"/>
        <v/>
      </c>
    </row>
    <row r="147" spans="11:11" ht="18" customHeight="1" x14ac:dyDescent="0.35">
      <c r="K147" s="37" t="str">
        <f t="shared" si="4"/>
        <v/>
      </c>
    </row>
    <row r="148" spans="11:11" ht="18" customHeight="1" x14ac:dyDescent="0.35">
      <c r="K148" s="37" t="str">
        <f t="shared" si="4"/>
        <v/>
      </c>
    </row>
    <row r="149" spans="11:11" ht="18" customHeight="1" x14ac:dyDescent="0.35">
      <c r="K149" s="37" t="str">
        <f t="shared" si="4"/>
        <v/>
      </c>
    </row>
    <row r="150" spans="11:11" ht="18" customHeight="1" x14ac:dyDescent="0.35">
      <c r="K150" s="37" t="str">
        <f t="shared" si="4"/>
        <v/>
      </c>
    </row>
    <row r="151" spans="11:11" ht="18" customHeight="1" x14ac:dyDescent="0.35">
      <c r="K151" s="37" t="str">
        <f t="shared" si="4"/>
        <v/>
      </c>
    </row>
    <row r="152" spans="11:11" ht="18" customHeight="1" x14ac:dyDescent="0.35">
      <c r="K152" s="37" t="str">
        <f t="shared" si="4"/>
        <v/>
      </c>
    </row>
    <row r="153" spans="11:11" ht="18" customHeight="1" x14ac:dyDescent="0.35">
      <c r="K153" s="37" t="str">
        <f t="shared" si="4"/>
        <v/>
      </c>
    </row>
    <row r="154" spans="11:11" ht="18" customHeight="1" x14ac:dyDescent="0.35">
      <c r="K154" s="37" t="str">
        <f t="shared" si="4"/>
        <v/>
      </c>
    </row>
    <row r="155" spans="11:11" ht="18" customHeight="1" x14ac:dyDescent="0.35">
      <c r="K155" s="37" t="str">
        <f t="shared" si="4"/>
        <v/>
      </c>
    </row>
    <row r="156" spans="11:11" ht="18" customHeight="1" x14ac:dyDescent="0.35">
      <c r="K156" s="37" t="str">
        <f t="shared" si="4"/>
        <v/>
      </c>
    </row>
    <row r="157" spans="11:11" ht="18" customHeight="1" x14ac:dyDescent="0.35">
      <c r="K157" s="37" t="str">
        <f t="shared" si="4"/>
        <v/>
      </c>
    </row>
    <row r="158" spans="11:11" ht="18" customHeight="1" x14ac:dyDescent="0.35">
      <c r="K158" s="37" t="str">
        <f t="shared" si="4"/>
        <v/>
      </c>
    </row>
    <row r="159" spans="11:11" ht="18" customHeight="1" x14ac:dyDescent="0.35">
      <c r="K159" s="37" t="str">
        <f t="shared" si="4"/>
        <v/>
      </c>
    </row>
    <row r="160" spans="11:11" ht="18" customHeight="1" x14ac:dyDescent="0.35">
      <c r="K160" s="37" t="str">
        <f t="shared" si="4"/>
        <v/>
      </c>
    </row>
    <row r="161" spans="11:11" ht="18" customHeight="1" x14ac:dyDescent="0.35">
      <c r="K161" s="37" t="str">
        <f t="shared" si="4"/>
        <v/>
      </c>
    </row>
    <row r="162" spans="11:11" ht="18" customHeight="1" x14ac:dyDescent="0.35">
      <c r="K162" s="37" t="str">
        <f t="shared" si="4"/>
        <v/>
      </c>
    </row>
    <row r="163" spans="11:11" ht="18" customHeight="1" x14ac:dyDescent="0.35">
      <c r="K163" s="37" t="str">
        <f t="shared" si="4"/>
        <v/>
      </c>
    </row>
    <row r="164" spans="11:11" ht="18" customHeight="1" x14ac:dyDescent="0.35">
      <c r="K164" s="37" t="str">
        <f t="shared" si="4"/>
        <v/>
      </c>
    </row>
    <row r="165" spans="11:11" ht="18" customHeight="1" x14ac:dyDescent="0.35">
      <c r="K165" s="37" t="str">
        <f t="shared" si="4"/>
        <v/>
      </c>
    </row>
    <row r="166" spans="11:11" ht="18" customHeight="1" x14ac:dyDescent="0.35">
      <c r="K166" s="37" t="str">
        <f t="shared" si="4"/>
        <v/>
      </c>
    </row>
    <row r="167" spans="11:11" ht="18" customHeight="1" x14ac:dyDescent="0.35">
      <c r="K167" s="37" t="str">
        <f t="shared" si="4"/>
        <v/>
      </c>
    </row>
    <row r="168" spans="11:11" ht="18" customHeight="1" x14ac:dyDescent="0.35">
      <c r="K168" s="37" t="str">
        <f t="shared" si="4"/>
        <v/>
      </c>
    </row>
    <row r="169" spans="11:11" ht="18" customHeight="1" x14ac:dyDescent="0.35">
      <c r="K169" s="37" t="str">
        <f t="shared" si="4"/>
        <v/>
      </c>
    </row>
    <row r="170" spans="11:11" ht="18" customHeight="1" x14ac:dyDescent="0.35">
      <c r="K170" s="37" t="str">
        <f t="shared" si="4"/>
        <v/>
      </c>
    </row>
    <row r="171" spans="11:11" ht="18" customHeight="1" x14ac:dyDescent="0.35">
      <c r="K171" s="37" t="str">
        <f t="shared" si="4"/>
        <v/>
      </c>
    </row>
    <row r="172" spans="11:11" ht="18" customHeight="1" x14ac:dyDescent="0.35">
      <c r="K172" s="37" t="str">
        <f t="shared" si="4"/>
        <v/>
      </c>
    </row>
    <row r="173" spans="11:11" ht="18" customHeight="1" x14ac:dyDescent="0.35">
      <c r="K173" s="37" t="str">
        <f t="shared" si="4"/>
        <v/>
      </c>
    </row>
    <row r="174" spans="11:11" ht="18" customHeight="1" x14ac:dyDescent="0.35">
      <c r="K174" s="37" t="str">
        <f t="shared" si="4"/>
        <v/>
      </c>
    </row>
    <row r="175" spans="11:11" ht="18" customHeight="1" x14ac:dyDescent="0.35">
      <c r="K175" s="37" t="str">
        <f t="shared" si="4"/>
        <v/>
      </c>
    </row>
    <row r="176" spans="11:11" ht="18" customHeight="1" x14ac:dyDescent="0.35">
      <c r="K176" s="37" t="str">
        <f t="shared" si="4"/>
        <v/>
      </c>
    </row>
    <row r="177" spans="11:11" ht="18" customHeight="1" x14ac:dyDescent="0.35">
      <c r="K177" s="37" t="str">
        <f t="shared" si="4"/>
        <v/>
      </c>
    </row>
    <row r="178" spans="11:11" ht="18" customHeight="1" x14ac:dyDescent="0.35">
      <c r="K178" s="37" t="str">
        <f t="shared" si="4"/>
        <v/>
      </c>
    </row>
    <row r="179" spans="11:11" ht="18" customHeight="1" x14ac:dyDescent="0.35">
      <c r="K179" s="37" t="str">
        <f t="shared" si="4"/>
        <v/>
      </c>
    </row>
    <row r="180" spans="11:11" ht="18" customHeight="1" x14ac:dyDescent="0.35">
      <c r="K180" s="37" t="str">
        <f t="shared" si="4"/>
        <v/>
      </c>
    </row>
    <row r="181" spans="11:11" ht="18" customHeight="1" x14ac:dyDescent="0.35">
      <c r="K181" s="37" t="str">
        <f t="shared" si="4"/>
        <v/>
      </c>
    </row>
    <row r="182" spans="11:11" ht="18" customHeight="1" x14ac:dyDescent="0.35">
      <c r="K182" s="37" t="str">
        <f t="shared" si="4"/>
        <v/>
      </c>
    </row>
    <row r="183" spans="11:11" ht="18" customHeight="1" x14ac:dyDescent="0.35">
      <c r="K183" s="37" t="str">
        <f t="shared" si="4"/>
        <v/>
      </c>
    </row>
    <row r="184" spans="11:11" ht="18" customHeight="1" x14ac:dyDescent="0.35">
      <c r="K184" s="37" t="str">
        <f t="shared" si="4"/>
        <v/>
      </c>
    </row>
    <row r="185" spans="11:11" ht="18" customHeight="1" x14ac:dyDescent="0.35">
      <c r="K185" s="37" t="str">
        <f t="shared" si="4"/>
        <v/>
      </c>
    </row>
    <row r="186" spans="11:11" ht="18" customHeight="1" x14ac:dyDescent="0.35">
      <c r="K186" s="37" t="str">
        <f t="shared" si="4"/>
        <v/>
      </c>
    </row>
    <row r="187" spans="11:11" ht="18" customHeight="1" x14ac:dyDescent="0.35">
      <c r="K187" s="37" t="str">
        <f t="shared" si="4"/>
        <v/>
      </c>
    </row>
    <row r="188" spans="11:11" ht="18" customHeight="1" x14ac:dyDescent="0.35">
      <c r="K188" s="37" t="str">
        <f t="shared" si="4"/>
        <v/>
      </c>
    </row>
    <row r="189" spans="11:11" ht="18" customHeight="1" x14ac:dyDescent="0.35">
      <c r="K189" s="37" t="str">
        <f t="shared" si="4"/>
        <v/>
      </c>
    </row>
    <row r="190" spans="11:11" ht="18" customHeight="1" x14ac:dyDescent="0.35">
      <c r="K190" s="37" t="str">
        <f t="shared" si="4"/>
        <v/>
      </c>
    </row>
    <row r="191" spans="11:11" ht="18" customHeight="1" x14ac:dyDescent="0.35">
      <c r="K191" s="37" t="str">
        <f t="shared" si="4"/>
        <v/>
      </c>
    </row>
    <row r="192" spans="11:11" ht="18" customHeight="1" x14ac:dyDescent="0.35">
      <c r="K192" s="37" t="str">
        <f t="shared" si="4"/>
        <v/>
      </c>
    </row>
    <row r="193" spans="11:11" ht="18" customHeight="1" x14ac:dyDescent="0.35">
      <c r="K193" s="37" t="str">
        <f t="shared" si="4"/>
        <v/>
      </c>
    </row>
    <row r="194" spans="11:11" ht="18" customHeight="1" x14ac:dyDescent="0.35">
      <c r="K194" s="37" t="str">
        <f t="shared" si="4"/>
        <v/>
      </c>
    </row>
    <row r="195" spans="11:11" ht="18" customHeight="1" x14ac:dyDescent="0.35">
      <c r="K195" s="37" t="str">
        <f t="shared" si="4"/>
        <v/>
      </c>
    </row>
    <row r="196" spans="11:11" ht="18" customHeight="1" x14ac:dyDescent="0.35">
      <c r="K196" s="37" t="str">
        <f t="shared" ref="K196:K259" si="5">IF(OR(E196="",H196="",J196=""),"",E196*H196*J196)</f>
        <v/>
      </c>
    </row>
    <row r="197" spans="11:11" ht="18" customHeight="1" x14ac:dyDescent="0.35">
      <c r="K197" s="37" t="str">
        <f t="shared" si="5"/>
        <v/>
      </c>
    </row>
    <row r="198" spans="11:11" ht="18" customHeight="1" x14ac:dyDescent="0.35">
      <c r="K198" s="37" t="str">
        <f t="shared" si="5"/>
        <v/>
      </c>
    </row>
    <row r="199" spans="11:11" ht="18" customHeight="1" x14ac:dyDescent="0.35">
      <c r="K199" s="37" t="str">
        <f t="shared" si="5"/>
        <v/>
      </c>
    </row>
    <row r="200" spans="11:11" ht="18" customHeight="1" x14ac:dyDescent="0.35">
      <c r="K200" s="37" t="str">
        <f t="shared" si="5"/>
        <v/>
      </c>
    </row>
    <row r="201" spans="11:11" ht="18" customHeight="1" x14ac:dyDescent="0.35">
      <c r="K201" s="37" t="str">
        <f t="shared" si="5"/>
        <v/>
      </c>
    </row>
    <row r="202" spans="11:11" ht="18" customHeight="1" x14ac:dyDescent="0.35">
      <c r="K202" s="37" t="str">
        <f t="shared" si="5"/>
        <v/>
      </c>
    </row>
    <row r="203" spans="11:11" ht="18" customHeight="1" x14ac:dyDescent="0.35">
      <c r="K203" s="37" t="str">
        <f t="shared" si="5"/>
        <v/>
      </c>
    </row>
    <row r="204" spans="11:11" ht="18" customHeight="1" x14ac:dyDescent="0.35">
      <c r="K204" s="37" t="str">
        <f t="shared" si="5"/>
        <v/>
      </c>
    </row>
    <row r="205" spans="11:11" ht="18" customHeight="1" x14ac:dyDescent="0.35">
      <c r="K205" s="37" t="str">
        <f t="shared" si="5"/>
        <v/>
      </c>
    </row>
    <row r="206" spans="11:11" ht="18" customHeight="1" x14ac:dyDescent="0.35">
      <c r="K206" s="37" t="str">
        <f t="shared" si="5"/>
        <v/>
      </c>
    </row>
    <row r="207" spans="11:11" ht="18" customHeight="1" x14ac:dyDescent="0.35">
      <c r="K207" s="37" t="str">
        <f t="shared" si="5"/>
        <v/>
      </c>
    </row>
    <row r="208" spans="11:11" ht="18" customHeight="1" x14ac:dyDescent="0.35">
      <c r="K208" s="37" t="str">
        <f t="shared" si="5"/>
        <v/>
      </c>
    </row>
    <row r="209" spans="11:11" ht="18" customHeight="1" x14ac:dyDescent="0.35">
      <c r="K209" s="37" t="str">
        <f t="shared" si="5"/>
        <v/>
      </c>
    </row>
    <row r="210" spans="11:11" ht="18" customHeight="1" x14ac:dyDescent="0.35">
      <c r="K210" s="37" t="str">
        <f t="shared" si="5"/>
        <v/>
      </c>
    </row>
    <row r="211" spans="11:11" ht="18" customHeight="1" x14ac:dyDescent="0.35">
      <c r="K211" s="37" t="str">
        <f t="shared" si="5"/>
        <v/>
      </c>
    </row>
    <row r="212" spans="11:11" ht="18" customHeight="1" x14ac:dyDescent="0.35">
      <c r="K212" s="37" t="str">
        <f t="shared" si="5"/>
        <v/>
      </c>
    </row>
    <row r="213" spans="11:11" ht="18" customHeight="1" x14ac:dyDescent="0.35">
      <c r="K213" s="37" t="str">
        <f t="shared" si="5"/>
        <v/>
      </c>
    </row>
    <row r="214" spans="11:11" ht="18" customHeight="1" x14ac:dyDescent="0.35">
      <c r="K214" s="37" t="str">
        <f t="shared" si="5"/>
        <v/>
      </c>
    </row>
    <row r="215" spans="11:11" ht="18" customHeight="1" x14ac:dyDescent="0.35">
      <c r="K215" s="37" t="str">
        <f t="shared" si="5"/>
        <v/>
      </c>
    </row>
    <row r="216" spans="11:11" ht="18" customHeight="1" x14ac:dyDescent="0.35">
      <c r="K216" s="37" t="str">
        <f t="shared" si="5"/>
        <v/>
      </c>
    </row>
    <row r="217" spans="11:11" ht="18" customHeight="1" x14ac:dyDescent="0.35">
      <c r="K217" s="37" t="str">
        <f t="shared" si="5"/>
        <v/>
      </c>
    </row>
    <row r="218" spans="11:11" ht="18" customHeight="1" x14ac:dyDescent="0.35">
      <c r="K218" s="37" t="str">
        <f t="shared" si="5"/>
        <v/>
      </c>
    </row>
    <row r="219" spans="11:11" ht="18" customHeight="1" x14ac:dyDescent="0.35">
      <c r="K219" s="37" t="str">
        <f t="shared" si="5"/>
        <v/>
      </c>
    </row>
    <row r="220" spans="11:11" ht="18" customHeight="1" x14ac:dyDescent="0.35">
      <c r="K220" s="37" t="str">
        <f t="shared" si="5"/>
        <v/>
      </c>
    </row>
    <row r="221" spans="11:11" ht="18" customHeight="1" x14ac:dyDescent="0.35">
      <c r="K221" s="37" t="str">
        <f t="shared" si="5"/>
        <v/>
      </c>
    </row>
    <row r="222" spans="11:11" ht="18" customHeight="1" x14ac:dyDescent="0.35">
      <c r="K222" s="37" t="str">
        <f t="shared" si="5"/>
        <v/>
      </c>
    </row>
    <row r="223" spans="11:11" ht="18" customHeight="1" x14ac:dyDescent="0.35">
      <c r="K223" s="37" t="str">
        <f t="shared" si="5"/>
        <v/>
      </c>
    </row>
    <row r="224" spans="11:11" ht="18" customHeight="1" x14ac:dyDescent="0.35">
      <c r="K224" s="37" t="str">
        <f t="shared" si="5"/>
        <v/>
      </c>
    </row>
    <row r="225" spans="11:11" ht="18" customHeight="1" x14ac:dyDescent="0.35">
      <c r="K225" s="37" t="str">
        <f t="shared" si="5"/>
        <v/>
      </c>
    </row>
    <row r="226" spans="11:11" ht="18" customHeight="1" x14ac:dyDescent="0.35">
      <c r="K226" s="37" t="str">
        <f t="shared" si="5"/>
        <v/>
      </c>
    </row>
    <row r="227" spans="11:11" ht="18" customHeight="1" x14ac:dyDescent="0.35">
      <c r="K227" s="37" t="str">
        <f t="shared" si="5"/>
        <v/>
      </c>
    </row>
    <row r="228" spans="11:11" ht="18" customHeight="1" x14ac:dyDescent="0.35">
      <c r="K228" s="37" t="str">
        <f t="shared" si="5"/>
        <v/>
      </c>
    </row>
    <row r="229" spans="11:11" ht="18" customHeight="1" x14ac:dyDescent="0.35">
      <c r="K229" s="37" t="str">
        <f t="shared" si="5"/>
        <v/>
      </c>
    </row>
    <row r="230" spans="11:11" ht="18" customHeight="1" x14ac:dyDescent="0.35">
      <c r="K230" s="37" t="str">
        <f t="shared" si="5"/>
        <v/>
      </c>
    </row>
    <row r="231" spans="11:11" ht="18" customHeight="1" x14ac:dyDescent="0.35">
      <c r="K231" s="37" t="str">
        <f t="shared" si="5"/>
        <v/>
      </c>
    </row>
    <row r="232" spans="11:11" ht="18" customHeight="1" x14ac:dyDescent="0.35">
      <c r="K232" s="37" t="str">
        <f t="shared" si="5"/>
        <v/>
      </c>
    </row>
    <row r="233" spans="11:11" ht="18" customHeight="1" x14ac:dyDescent="0.35">
      <c r="K233" s="37" t="str">
        <f t="shared" si="5"/>
        <v/>
      </c>
    </row>
    <row r="234" spans="11:11" ht="18" customHeight="1" x14ac:dyDescent="0.35">
      <c r="K234" s="37" t="str">
        <f t="shared" si="5"/>
        <v/>
      </c>
    </row>
    <row r="235" spans="11:11" ht="18" customHeight="1" x14ac:dyDescent="0.35">
      <c r="K235" s="37" t="str">
        <f t="shared" si="5"/>
        <v/>
      </c>
    </row>
    <row r="236" spans="11:11" ht="18" customHeight="1" x14ac:dyDescent="0.35">
      <c r="K236" s="37" t="str">
        <f t="shared" si="5"/>
        <v/>
      </c>
    </row>
    <row r="237" spans="11:11" ht="18" customHeight="1" x14ac:dyDescent="0.35">
      <c r="K237" s="37" t="str">
        <f t="shared" si="5"/>
        <v/>
      </c>
    </row>
    <row r="238" spans="11:11" ht="18" customHeight="1" x14ac:dyDescent="0.35">
      <c r="K238" s="37" t="str">
        <f t="shared" si="5"/>
        <v/>
      </c>
    </row>
    <row r="239" spans="11:11" ht="18" customHeight="1" x14ac:dyDescent="0.35">
      <c r="K239" s="37" t="str">
        <f t="shared" si="5"/>
        <v/>
      </c>
    </row>
    <row r="240" spans="11:11" ht="18" customHeight="1" x14ac:dyDescent="0.35">
      <c r="K240" s="37" t="str">
        <f t="shared" si="5"/>
        <v/>
      </c>
    </row>
    <row r="241" spans="11:11" ht="18" customHeight="1" x14ac:dyDescent="0.35">
      <c r="K241" s="37" t="str">
        <f t="shared" si="5"/>
        <v/>
      </c>
    </row>
    <row r="242" spans="11:11" ht="18" customHeight="1" x14ac:dyDescent="0.35">
      <c r="K242" s="37" t="str">
        <f t="shared" si="5"/>
        <v/>
      </c>
    </row>
    <row r="243" spans="11:11" ht="18" customHeight="1" x14ac:dyDescent="0.35">
      <c r="K243" s="37" t="str">
        <f t="shared" si="5"/>
        <v/>
      </c>
    </row>
    <row r="244" spans="11:11" ht="18" customHeight="1" x14ac:dyDescent="0.35">
      <c r="K244" s="37" t="str">
        <f t="shared" si="5"/>
        <v/>
      </c>
    </row>
    <row r="245" spans="11:11" ht="18" customHeight="1" x14ac:dyDescent="0.35">
      <c r="K245" s="37" t="str">
        <f t="shared" si="5"/>
        <v/>
      </c>
    </row>
    <row r="246" spans="11:11" ht="18" customHeight="1" x14ac:dyDescent="0.35">
      <c r="K246" s="37" t="str">
        <f t="shared" si="5"/>
        <v/>
      </c>
    </row>
    <row r="247" spans="11:11" ht="18" customHeight="1" x14ac:dyDescent="0.35">
      <c r="K247" s="37" t="str">
        <f t="shared" si="5"/>
        <v/>
      </c>
    </row>
    <row r="248" spans="11:11" ht="18" customHeight="1" x14ac:dyDescent="0.35">
      <c r="K248" s="37" t="str">
        <f t="shared" si="5"/>
        <v/>
      </c>
    </row>
    <row r="249" spans="11:11" ht="18" customHeight="1" x14ac:dyDescent="0.35">
      <c r="K249" s="37" t="str">
        <f t="shared" si="5"/>
        <v/>
      </c>
    </row>
    <row r="250" spans="11:11" ht="18" customHeight="1" x14ac:dyDescent="0.35">
      <c r="K250" s="37" t="str">
        <f t="shared" si="5"/>
        <v/>
      </c>
    </row>
    <row r="251" spans="11:11" ht="18" customHeight="1" x14ac:dyDescent="0.35">
      <c r="K251" s="37" t="str">
        <f t="shared" si="5"/>
        <v/>
      </c>
    </row>
    <row r="252" spans="11:11" ht="18" customHeight="1" x14ac:dyDescent="0.35">
      <c r="K252" s="37" t="str">
        <f t="shared" si="5"/>
        <v/>
      </c>
    </row>
    <row r="253" spans="11:11" ht="18" customHeight="1" x14ac:dyDescent="0.35">
      <c r="K253" s="37" t="str">
        <f t="shared" si="5"/>
        <v/>
      </c>
    </row>
    <row r="254" spans="11:11" ht="18" customHeight="1" x14ac:dyDescent="0.35">
      <c r="K254" s="37" t="str">
        <f t="shared" si="5"/>
        <v/>
      </c>
    </row>
    <row r="255" spans="11:11" ht="18" customHeight="1" x14ac:dyDescent="0.35">
      <c r="K255" s="37" t="str">
        <f t="shared" si="5"/>
        <v/>
      </c>
    </row>
    <row r="256" spans="11:11" ht="18" customHeight="1" x14ac:dyDescent="0.35">
      <c r="K256" s="37" t="str">
        <f t="shared" si="5"/>
        <v/>
      </c>
    </row>
    <row r="257" spans="11:11" ht="18" customHeight="1" x14ac:dyDescent="0.35">
      <c r="K257" s="37" t="str">
        <f t="shared" si="5"/>
        <v/>
      </c>
    </row>
    <row r="258" spans="11:11" ht="18" customHeight="1" x14ac:dyDescent="0.35">
      <c r="K258" s="37" t="str">
        <f t="shared" si="5"/>
        <v/>
      </c>
    </row>
    <row r="259" spans="11:11" ht="18" customHeight="1" x14ac:dyDescent="0.35">
      <c r="K259" s="37" t="str">
        <f t="shared" si="5"/>
        <v/>
      </c>
    </row>
    <row r="260" spans="11:11" ht="18" customHeight="1" x14ac:dyDescent="0.35">
      <c r="K260" s="37" t="str">
        <f t="shared" ref="K260:K323" si="6">IF(OR(E260="",H260="",J260=""),"",E260*H260*J260)</f>
        <v/>
      </c>
    </row>
    <row r="261" spans="11:11" ht="18" customHeight="1" x14ac:dyDescent="0.35">
      <c r="K261" s="37" t="str">
        <f t="shared" si="6"/>
        <v/>
      </c>
    </row>
    <row r="262" spans="11:11" ht="18" customHeight="1" x14ac:dyDescent="0.35">
      <c r="K262" s="37" t="str">
        <f t="shared" si="6"/>
        <v/>
      </c>
    </row>
    <row r="263" spans="11:11" ht="18" customHeight="1" x14ac:dyDescent="0.35">
      <c r="K263" s="37" t="str">
        <f t="shared" si="6"/>
        <v/>
      </c>
    </row>
    <row r="264" spans="11:11" ht="18" customHeight="1" x14ac:dyDescent="0.35">
      <c r="K264" s="37" t="str">
        <f t="shared" si="6"/>
        <v/>
      </c>
    </row>
    <row r="265" spans="11:11" ht="18" customHeight="1" x14ac:dyDescent="0.35">
      <c r="K265" s="37" t="str">
        <f t="shared" si="6"/>
        <v/>
      </c>
    </row>
    <row r="266" spans="11:11" ht="18" customHeight="1" x14ac:dyDescent="0.35">
      <c r="K266" s="37" t="str">
        <f t="shared" si="6"/>
        <v/>
      </c>
    </row>
    <row r="267" spans="11:11" ht="18" customHeight="1" x14ac:dyDescent="0.35">
      <c r="K267" s="37" t="str">
        <f t="shared" si="6"/>
        <v/>
      </c>
    </row>
    <row r="268" spans="11:11" ht="18" customHeight="1" x14ac:dyDescent="0.35">
      <c r="K268" s="37" t="str">
        <f t="shared" si="6"/>
        <v/>
      </c>
    </row>
    <row r="269" spans="11:11" ht="18" customHeight="1" x14ac:dyDescent="0.35">
      <c r="K269" s="37" t="str">
        <f t="shared" si="6"/>
        <v/>
      </c>
    </row>
    <row r="270" spans="11:11" ht="18" customHeight="1" x14ac:dyDescent="0.35">
      <c r="K270" s="37" t="str">
        <f t="shared" si="6"/>
        <v/>
      </c>
    </row>
    <row r="271" spans="11:11" ht="18" customHeight="1" x14ac:dyDescent="0.35">
      <c r="K271" s="37" t="str">
        <f t="shared" si="6"/>
        <v/>
      </c>
    </row>
    <row r="272" spans="11:11" ht="18" customHeight="1" x14ac:dyDescent="0.35">
      <c r="K272" s="37" t="str">
        <f t="shared" si="6"/>
        <v/>
      </c>
    </row>
    <row r="273" spans="11:11" ht="18" customHeight="1" x14ac:dyDescent="0.35">
      <c r="K273" s="37" t="str">
        <f t="shared" si="6"/>
        <v/>
      </c>
    </row>
    <row r="274" spans="11:11" ht="18" customHeight="1" x14ac:dyDescent="0.35">
      <c r="K274" s="37" t="str">
        <f t="shared" si="6"/>
        <v/>
      </c>
    </row>
    <row r="275" spans="11:11" ht="18" customHeight="1" x14ac:dyDescent="0.35">
      <c r="K275" s="37" t="str">
        <f t="shared" si="6"/>
        <v/>
      </c>
    </row>
    <row r="276" spans="11:11" ht="18" customHeight="1" x14ac:dyDescent="0.35">
      <c r="K276" s="37" t="str">
        <f t="shared" si="6"/>
        <v/>
      </c>
    </row>
    <row r="277" spans="11:11" ht="18" customHeight="1" x14ac:dyDescent="0.35">
      <c r="K277" s="37" t="str">
        <f t="shared" si="6"/>
        <v/>
      </c>
    </row>
    <row r="278" spans="11:11" ht="18" customHeight="1" x14ac:dyDescent="0.35">
      <c r="K278" s="37" t="str">
        <f t="shared" si="6"/>
        <v/>
      </c>
    </row>
    <row r="279" spans="11:11" ht="18" customHeight="1" x14ac:dyDescent="0.35">
      <c r="K279" s="37" t="str">
        <f t="shared" si="6"/>
        <v/>
      </c>
    </row>
    <row r="280" spans="11:11" ht="18" customHeight="1" x14ac:dyDescent="0.35">
      <c r="K280" s="37" t="str">
        <f t="shared" si="6"/>
        <v/>
      </c>
    </row>
    <row r="281" spans="11:11" ht="18" customHeight="1" x14ac:dyDescent="0.35">
      <c r="K281" s="37" t="str">
        <f t="shared" si="6"/>
        <v/>
      </c>
    </row>
    <row r="282" spans="11:11" ht="18" customHeight="1" x14ac:dyDescent="0.35">
      <c r="K282" s="37" t="str">
        <f t="shared" si="6"/>
        <v/>
      </c>
    </row>
    <row r="283" spans="11:11" ht="18" customHeight="1" x14ac:dyDescent="0.35">
      <c r="K283" s="37" t="str">
        <f t="shared" si="6"/>
        <v/>
      </c>
    </row>
    <row r="284" spans="11:11" ht="18" customHeight="1" x14ac:dyDescent="0.35">
      <c r="K284" s="37" t="str">
        <f t="shared" si="6"/>
        <v/>
      </c>
    </row>
    <row r="285" spans="11:11" ht="18" customHeight="1" x14ac:dyDescent="0.35">
      <c r="K285" s="37" t="str">
        <f t="shared" si="6"/>
        <v/>
      </c>
    </row>
    <row r="286" spans="11:11" ht="18" customHeight="1" x14ac:dyDescent="0.35">
      <c r="K286" s="37" t="str">
        <f t="shared" si="6"/>
        <v/>
      </c>
    </row>
    <row r="287" spans="11:11" ht="18" customHeight="1" x14ac:dyDescent="0.35">
      <c r="K287" s="37" t="str">
        <f t="shared" si="6"/>
        <v/>
      </c>
    </row>
    <row r="288" spans="11:11" ht="18" customHeight="1" x14ac:dyDescent="0.35">
      <c r="K288" s="37" t="str">
        <f t="shared" si="6"/>
        <v/>
      </c>
    </row>
    <row r="289" spans="11:11" ht="18" customHeight="1" x14ac:dyDescent="0.35">
      <c r="K289" s="37" t="str">
        <f t="shared" si="6"/>
        <v/>
      </c>
    </row>
    <row r="290" spans="11:11" ht="18" customHeight="1" x14ac:dyDescent="0.35">
      <c r="K290" s="37" t="str">
        <f t="shared" si="6"/>
        <v/>
      </c>
    </row>
    <row r="291" spans="11:11" ht="18" customHeight="1" x14ac:dyDescent="0.35">
      <c r="K291" s="37" t="str">
        <f t="shared" si="6"/>
        <v/>
      </c>
    </row>
    <row r="292" spans="11:11" ht="18" customHeight="1" x14ac:dyDescent="0.35">
      <c r="K292" s="37" t="str">
        <f t="shared" si="6"/>
        <v/>
      </c>
    </row>
    <row r="293" spans="11:11" ht="18" customHeight="1" x14ac:dyDescent="0.35">
      <c r="K293" s="37" t="str">
        <f t="shared" si="6"/>
        <v/>
      </c>
    </row>
    <row r="294" spans="11:11" ht="18" customHeight="1" x14ac:dyDescent="0.35">
      <c r="K294" s="37" t="str">
        <f t="shared" si="6"/>
        <v/>
      </c>
    </row>
    <row r="295" spans="11:11" ht="18" customHeight="1" x14ac:dyDescent="0.35">
      <c r="K295" s="37" t="str">
        <f t="shared" si="6"/>
        <v/>
      </c>
    </row>
    <row r="296" spans="11:11" ht="18" customHeight="1" x14ac:dyDescent="0.35">
      <c r="K296" s="37" t="str">
        <f t="shared" si="6"/>
        <v/>
      </c>
    </row>
    <row r="297" spans="11:11" ht="18" customHeight="1" x14ac:dyDescent="0.35">
      <c r="K297" s="37" t="str">
        <f t="shared" si="6"/>
        <v/>
      </c>
    </row>
    <row r="298" spans="11:11" ht="18" customHeight="1" x14ac:dyDescent="0.35">
      <c r="K298" s="37" t="str">
        <f t="shared" si="6"/>
        <v/>
      </c>
    </row>
    <row r="299" spans="11:11" ht="18" customHeight="1" x14ac:dyDescent="0.35">
      <c r="K299" s="37" t="str">
        <f t="shared" si="6"/>
        <v/>
      </c>
    </row>
    <row r="300" spans="11:11" ht="18" customHeight="1" x14ac:dyDescent="0.35">
      <c r="K300" s="37" t="str">
        <f t="shared" si="6"/>
        <v/>
      </c>
    </row>
    <row r="301" spans="11:11" ht="18" customHeight="1" x14ac:dyDescent="0.35">
      <c r="K301" s="37" t="str">
        <f t="shared" si="6"/>
        <v/>
      </c>
    </row>
    <row r="302" spans="11:11" ht="18" customHeight="1" x14ac:dyDescent="0.35">
      <c r="K302" s="37" t="str">
        <f t="shared" si="6"/>
        <v/>
      </c>
    </row>
    <row r="303" spans="11:11" ht="18" customHeight="1" x14ac:dyDescent="0.35">
      <c r="K303" s="37" t="str">
        <f t="shared" si="6"/>
        <v/>
      </c>
    </row>
    <row r="304" spans="11:11" ht="18" customHeight="1" x14ac:dyDescent="0.35">
      <c r="K304" s="37" t="str">
        <f t="shared" si="6"/>
        <v/>
      </c>
    </row>
    <row r="305" spans="11:11" ht="18" customHeight="1" x14ac:dyDescent="0.35">
      <c r="K305" s="37" t="str">
        <f t="shared" si="6"/>
        <v/>
      </c>
    </row>
    <row r="306" spans="11:11" ht="18" customHeight="1" x14ac:dyDescent="0.35">
      <c r="K306" s="37" t="str">
        <f t="shared" si="6"/>
        <v/>
      </c>
    </row>
    <row r="307" spans="11:11" ht="18" customHeight="1" x14ac:dyDescent="0.35">
      <c r="K307" s="37" t="str">
        <f t="shared" si="6"/>
        <v/>
      </c>
    </row>
    <row r="308" spans="11:11" ht="18" customHeight="1" x14ac:dyDescent="0.35">
      <c r="K308" s="37" t="str">
        <f t="shared" si="6"/>
        <v/>
      </c>
    </row>
    <row r="309" spans="11:11" ht="18" customHeight="1" x14ac:dyDescent="0.35">
      <c r="K309" s="37" t="str">
        <f t="shared" si="6"/>
        <v/>
      </c>
    </row>
    <row r="310" spans="11:11" ht="18" customHeight="1" x14ac:dyDescent="0.35">
      <c r="K310" s="37" t="str">
        <f t="shared" si="6"/>
        <v/>
      </c>
    </row>
    <row r="311" spans="11:11" ht="18" customHeight="1" x14ac:dyDescent="0.35">
      <c r="K311" s="37" t="str">
        <f t="shared" si="6"/>
        <v/>
      </c>
    </row>
    <row r="312" spans="11:11" ht="18" customHeight="1" x14ac:dyDescent="0.35">
      <c r="K312" s="37" t="str">
        <f t="shared" si="6"/>
        <v/>
      </c>
    </row>
    <row r="313" spans="11:11" ht="18" customHeight="1" x14ac:dyDescent="0.35">
      <c r="K313" s="37" t="str">
        <f t="shared" si="6"/>
        <v/>
      </c>
    </row>
    <row r="314" spans="11:11" ht="18" customHeight="1" x14ac:dyDescent="0.35">
      <c r="K314" s="37" t="str">
        <f t="shared" si="6"/>
        <v/>
      </c>
    </row>
    <row r="315" spans="11:11" ht="18" customHeight="1" x14ac:dyDescent="0.35">
      <c r="K315" s="37" t="str">
        <f t="shared" si="6"/>
        <v/>
      </c>
    </row>
    <row r="316" spans="11:11" ht="18" customHeight="1" x14ac:dyDescent="0.35">
      <c r="K316" s="37" t="str">
        <f t="shared" si="6"/>
        <v/>
      </c>
    </row>
    <row r="317" spans="11:11" ht="18" customHeight="1" x14ac:dyDescent="0.35">
      <c r="K317" s="37" t="str">
        <f t="shared" si="6"/>
        <v/>
      </c>
    </row>
    <row r="318" spans="11:11" ht="18" customHeight="1" x14ac:dyDescent="0.35">
      <c r="K318" s="37" t="str">
        <f t="shared" si="6"/>
        <v/>
      </c>
    </row>
    <row r="319" spans="11:11" ht="18" customHeight="1" x14ac:dyDescent="0.35">
      <c r="K319" s="37" t="str">
        <f t="shared" si="6"/>
        <v/>
      </c>
    </row>
    <row r="320" spans="11:11" ht="18" customHeight="1" x14ac:dyDescent="0.35">
      <c r="K320" s="37" t="str">
        <f t="shared" si="6"/>
        <v/>
      </c>
    </row>
    <row r="321" spans="11:11" ht="18" customHeight="1" x14ac:dyDescent="0.35">
      <c r="K321" s="37" t="str">
        <f t="shared" si="6"/>
        <v/>
      </c>
    </row>
    <row r="322" spans="11:11" ht="18" customHeight="1" x14ac:dyDescent="0.35">
      <c r="K322" s="37" t="str">
        <f t="shared" si="6"/>
        <v/>
      </c>
    </row>
    <row r="323" spans="11:11" ht="18" customHeight="1" x14ac:dyDescent="0.35">
      <c r="K323" s="37" t="str">
        <f t="shared" si="6"/>
        <v/>
      </c>
    </row>
    <row r="324" spans="11:11" ht="18" customHeight="1" x14ac:dyDescent="0.35">
      <c r="K324" s="37" t="str">
        <f t="shared" ref="K324:K387" si="7">IF(OR(E324="",H324="",J324=""),"",E324*H324*J324)</f>
        <v/>
      </c>
    </row>
    <row r="325" spans="11:11" ht="18" customHeight="1" x14ac:dyDescent="0.35">
      <c r="K325" s="37" t="str">
        <f t="shared" si="7"/>
        <v/>
      </c>
    </row>
    <row r="326" spans="11:11" ht="18" customHeight="1" x14ac:dyDescent="0.35">
      <c r="K326" s="37" t="str">
        <f t="shared" si="7"/>
        <v/>
      </c>
    </row>
    <row r="327" spans="11:11" ht="18" customHeight="1" x14ac:dyDescent="0.35">
      <c r="K327" s="37" t="str">
        <f t="shared" si="7"/>
        <v/>
      </c>
    </row>
    <row r="328" spans="11:11" ht="18" customHeight="1" x14ac:dyDescent="0.35">
      <c r="K328" s="37" t="str">
        <f t="shared" si="7"/>
        <v/>
      </c>
    </row>
    <row r="329" spans="11:11" ht="18" customHeight="1" x14ac:dyDescent="0.35">
      <c r="K329" s="37" t="str">
        <f t="shared" si="7"/>
        <v/>
      </c>
    </row>
    <row r="330" spans="11:11" ht="18" customHeight="1" x14ac:dyDescent="0.35">
      <c r="K330" s="37" t="str">
        <f t="shared" si="7"/>
        <v/>
      </c>
    </row>
    <row r="331" spans="11:11" ht="18" customHeight="1" x14ac:dyDescent="0.35">
      <c r="K331" s="37" t="str">
        <f t="shared" si="7"/>
        <v/>
      </c>
    </row>
    <row r="332" spans="11:11" ht="18" customHeight="1" x14ac:dyDescent="0.35">
      <c r="K332" s="37" t="str">
        <f t="shared" si="7"/>
        <v/>
      </c>
    </row>
    <row r="333" spans="11:11" ht="18" customHeight="1" x14ac:dyDescent="0.35">
      <c r="K333" s="37" t="str">
        <f t="shared" si="7"/>
        <v/>
      </c>
    </row>
    <row r="334" spans="11:11" ht="18" customHeight="1" x14ac:dyDescent="0.35">
      <c r="K334" s="37" t="str">
        <f t="shared" si="7"/>
        <v/>
      </c>
    </row>
    <row r="335" spans="11:11" ht="18" customHeight="1" x14ac:dyDescent="0.35">
      <c r="K335" s="37" t="str">
        <f t="shared" si="7"/>
        <v/>
      </c>
    </row>
    <row r="336" spans="11:11" ht="18" customHeight="1" x14ac:dyDescent="0.35">
      <c r="K336" s="37" t="str">
        <f t="shared" si="7"/>
        <v/>
      </c>
    </row>
    <row r="337" spans="11:11" ht="18" customHeight="1" x14ac:dyDescent="0.35">
      <c r="K337" s="37" t="str">
        <f t="shared" si="7"/>
        <v/>
      </c>
    </row>
    <row r="338" spans="11:11" ht="18" customHeight="1" x14ac:dyDescent="0.35">
      <c r="K338" s="37" t="str">
        <f t="shared" si="7"/>
        <v/>
      </c>
    </row>
    <row r="339" spans="11:11" ht="18" customHeight="1" x14ac:dyDescent="0.35">
      <c r="K339" s="37" t="str">
        <f t="shared" si="7"/>
        <v/>
      </c>
    </row>
    <row r="340" spans="11:11" ht="18" customHeight="1" x14ac:dyDescent="0.35">
      <c r="K340" s="37" t="str">
        <f t="shared" si="7"/>
        <v/>
      </c>
    </row>
    <row r="341" spans="11:11" ht="18" customHeight="1" x14ac:dyDescent="0.35">
      <c r="K341" s="37" t="str">
        <f t="shared" si="7"/>
        <v/>
      </c>
    </row>
    <row r="342" spans="11:11" ht="18" customHeight="1" x14ac:dyDescent="0.35">
      <c r="K342" s="37" t="str">
        <f t="shared" si="7"/>
        <v/>
      </c>
    </row>
    <row r="343" spans="11:11" ht="18" customHeight="1" x14ac:dyDescent="0.35">
      <c r="K343" s="37" t="str">
        <f t="shared" si="7"/>
        <v/>
      </c>
    </row>
    <row r="344" spans="11:11" ht="18" customHeight="1" x14ac:dyDescent="0.35">
      <c r="K344" s="37" t="str">
        <f t="shared" si="7"/>
        <v/>
      </c>
    </row>
    <row r="345" spans="11:11" ht="18" customHeight="1" x14ac:dyDescent="0.35">
      <c r="K345" s="37" t="str">
        <f t="shared" si="7"/>
        <v/>
      </c>
    </row>
    <row r="346" spans="11:11" ht="18" customHeight="1" x14ac:dyDescent="0.35">
      <c r="K346" s="37" t="str">
        <f t="shared" si="7"/>
        <v/>
      </c>
    </row>
    <row r="347" spans="11:11" ht="18" customHeight="1" x14ac:dyDescent="0.35">
      <c r="K347" s="37" t="str">
        <f t="shared" si="7"/>
        <v/>
      </c>
    </row>
    <row r="348" spans="11:11" ht="18" customHeight="1" x14ac:dyDescent="0.35">
      <c r="K348" s="37" t="str">
        <f t="shared" si="7"/>
        <v/>
      </c>
    </row>
    <row r="349" spans="11:11" ht="18" customHeight="1" x14ac:dyDescent="0.35">
      <c r="K349" s="37" t="str">
        <f t="shared" si="7"/>
        <v/>
      </c>
    </row>
    <row r="350" spans="11:11" ht="18" customHeight="1" x14ac:dyDescent="0.35">
      <c r="K350" s="37" t="str">
        <f t="shared" si="7"/>
        <v/>
      </c>
    </row>
    <row r="351" spans="11:11" ht="18" customHeight="1" x14ac:dyDescent="0.35">
      <c r="K351" s="37" t="str">
        <f t="shared" si="7"/>
        <v/>
      </c>
    </row>
    <row r="352" spans="11:11" ht="18" customHeight="1" x14ac:dyDescent="0.35">
      <c r="K352" s="37" t="str">
        <f t="shared" si="7"/>
        <v/>
      </c>
    </row>
    <row r="353" spans="11:11" ht="18" customHeight="1" x14ac:dyDescent="0.35">
      <c r="K353" s="37" t="str">
        <f t="shared" si="7"/>
        <v/>
      </c>
    </row>
    <row r="354" spans="11:11" ht="18" customHeight="1" x14ac:dyDescent="0.35">
      <c r="K354" s="37" t="str">
        <f t="shared" si="7"/>
        <v/>
      </c>
    </row>
    <row r="355" spans="11:11" ht="18" customHeight="1" x14ac:dyDescent="0.35">
      <c r="K355" s="37" t="str">
        <f t="shared" si="7"/>
        <v/>
      </c>
    </row>
    <row r="356" spans="11:11" ht="18" customHeight="1" x14ac:dyDescent="0.35">
      <c r="K356" s="37" t="str">
        <f t="shared" si="7"/>
        <v/>
      </c>
    </row>
    <row r="357" spans="11:11" ht="18" customHeight="1" x14ac:dyDescent="0.35">
      <c r="K357" s="37" t="str">
        <f t="shared" si="7"/>
        <v/>
      </c>
    </row>
    <row r="358" spans="11:11" ht="18" customHeight="1" x14ac:dyDescent="0.35">
      <c r="K358" s="37" t="str">
        <f t="shared" si="7"/>
        <v/>
      </c>
    </row>
    <row r="359" spans="11:11" ht="18" customHeight="1" x14ac:dyDescent="0.35">
      <c r="K359" s="37" t="str">
        <f t="shared" si="7"/>
        <v/>
      </c>
    </row>
    <row r="360" spans="11:11" ht="18" customHeight="1" x14ac:dyDescent="0.35">
      <c r="K360" s="37" t="str">
        <f t="shared" si="7"/>
        <v/>
      </c>
    </row>
    <row r="361" spans="11:11" ht="18" customHeight="1" x14ac:dyDescent="0.35">
      <c r="K361" s="37" t="str">
        <f t="shared" si="7"/>
        <v/>
      </c>
    </row>
    <row r="362" spans="11:11" ht="18" customHeight="1" x14ac:dyDescent="0.35">
      <c r="K362" s="37" t="str">
        <f t="shared" si="7"/>
        <v/>
      </c>
    </row>
    <row r="363" spans="11:11" ht="18" customHeight="1" x14ac:dyDescent="0.35">
      <c r="K363" s="37" t="str">
        <f t="shared" si="7"/>
        <v/>
      </c>
    </row>
    <row r="364" spans="11:11" ht="18" customHeight="1" x14ac:dyDescent="0.35">
      <c r="K364" s="37" t="str">
        <f t="shared" si="7"/>
        <v/>
      </c>
    </row>
    <row r="365" spans="11:11" ht="18" customHeight="1" x14ac:dyDescent="0.35">
      <c r="K365" s="37" t="str">
        <f t="shared" si="7"/>
        <v/>
      </c>
    </row>
    <row r="366" spans="11:11" ht="18" customHeight="1" x14ac:dyDescent="0.35">
      <c r="K366" s="37" t="str">
        <f t="shared" si="7"/>
        <v/>
      </c>
    </row>
    <row r="367" spans="11:11" ht="18" customHeight="1" x14ac:dyDescent="0.35">
      <c r="K367" s="37" t="str">
        <f t="shared" si="7"/>
        <v/>
      </c>
    </row>
    <row r="368" spans="11:11" ht="18" customHeight="1" x14ac:dyDescent="0.35">
      <c r="K368" s="37" t="str">
        <f t="shared" si="7"/>
        <v/>
      </c>
    </row>
    <row r="369" spans="11:11" ht="18" customHeight="1" x14ac:dyDescent="0.35">
      <c r="K369" s="37" t="str">
        <f t="shared" si="7"/>
        <v/>
      </c>
    </row>
    <row r="370" spans="11:11" ht="18" customHeight="1" x14ac:dyDescent="0.35">
      <c r="K370" s="37" t="str">
        <f t="shared" si="7"/>
        <v/>
      </c>
    </row>
    <row r="371" spans="11:11" ht="18" customHeight="1" x14ac:dyDescent="0.35">
      <c r="K371" s="37" t="str">
        <f t="shared" si="7"/>
        <v/>
      </c>
    </row>
    <row r="372" spans="11:11" ht="18" customHeight="1" x14ac:dyDescent="0.35">
      <c r="K372" s="37" t="str">
        <f t="shared" si="7"/>
        <v/>
      </c>
    </row>
    <row r="373" spans="11:11" ht="18" customHeight="1" x14ac:dyDescent="0.35">
      <c r="K373" s="37" t="str">
        <f t="shared" si="7"/>
        <v/>
      </c>
    </row>
    <row r="374" spans="11:11" ht="18" customHeight="1" x14ac:dyDescent="0.35">
      <c r="K374" s="37" t="str">
        <f t="shared" si="7"/>
        <v/>
      </c>
    </row>
    <row r="375" spans="11:11" ht="18" customHeight="1" x14ac:dyDescent="0.35">
      <c r="K375" s="37" t="str">
        <f t="shared" si="7"/>
        <v/>
      </c>
    </row>
    <row r="376" spans="11:11" ht="18" customHeight="1" x14ac:dyDescent="0.35">
      <c r="K376" s="37" t="str">
        <f t="shared" si="7"/>
        <v/>
      </c>
    </row>
    <row r="377" spans="11:11" ht="18" customHeight="1" x14ac:dyDescent="0.35">
      <c r="K377" s="37" t="str">
        <f t="shared" si="7"/>
        <v/>
      </c>
    </row>
    <row r="378" spans="11:11" ht="18" customHeight="1" x14ac:dyDescent="0.35">
      <c r="K378" s="37" t="str">
        <f t="shared" si="7"/>
        <v/>
      </c>
    </row>
    <row r="379" spans="11:11" ht="18" customHeight="1" x14ac:dyDescent="0.35">
      <c r="K379" s="37" t="str">
        <f t="shared" si="7"/>
        <v/>
      </c>
    </row>
    <row r="380" spans="11:11" ht="18" customHeight="1" x14ac:dyDescent="0.35">
      <c r="K380" s="37" t="str">
        <f t="shared" si="7"/>
        <v/>
      </c>
    </row>
    <row r="381" spans="11:11" ht="18" customHeight="1" x14ac:dyDescent="0.35">
      <c r="K381" s="37" t="str">
        <f t="shared" si="7"/>
        <v/>
      </c>
    </row>
    <row r="382" spans="11:11" ht="18" customHeight="1" x14ac:dyDescent="0.35">
      <c r="K382" s="37" t="str">
        <f t="shared" si="7"/>
        <v/>
      </c>
    </row>
    <row r="383" spans="11:11" ht="18" customHeight="1" x14ac:dyDescent="0.35">
      <c r="K383" s="37" t="str">
        <f t="shared" si="7"/>
        <v/>
      </c>
    </row>
    <row r="384" spans="11:11" ht="18" customHeight="1" x14ac:dyDescent="0.35">
      <c r="K384" s="37" t="str">
        <f t="shared" si="7"/>
        <v/>
      </c>
    </row>
    <row r="385" spans="11:11" ht="18" customHeight="1" x14ac:dyDescent="0.35">
      <c r="K385" s="37" t="str">
        <f t="shared" si="7"/>
        <v/>
      </c>
    </row>
    <row r="386" spans="11:11" ht="18" customHeight="1" x14ac:dyDescent="0.35">
      <c r="K386" s="37" t="str">
        <f t="shared" si="7"/>
        <v/>
      </c>
    </row>
    <row r="387" spans="11:11" ht="18" customHeight="1" x14ac:dyDescent="0.35">
      <c r="K387" s="37" t="str">
        <f t="shared" si="7"/>
        <v/>
      </c>
    </row>
    <row r="388" spans="11:11" ht="18" customHeight="1" x14ac:dyDescent="0.35">
      <c r="K388" s="37" t="str">
        <f t="shared" ref="K388:K451" si="8">IF(OR(E388="",H388="",J388=""),"",E388*H388*J388)</f>
        <v/>
      </c>
    </row>
    <row r="389" spans="11:11" ht="18" customHeight="1" x14ac:dyDescent="0.35">
      <c r="K389" s="37" t="str">
        <f t="shared" si="8"/>
        <v/>
      </c>
    </row>
    <row r="390" spans="11:11" ht="18" customHeight="1" x14ac:dyDescent="0.35">
      <c r="K390" s="37" t="str">
        <f t="shared" si="8"/>
        <v/>
      </c>
    </row>
    <row r="391" spans="11:11" ht="18" customHeight="1" x14ac:dyDescent="0.35">
      <c r="K391" s="37" t="str">
        <f t="shared" si="8"/>
        <v/>
      </c>
    </row>
    <row r="392" spans="11:11" ht="18" customHeight="1" x14ac:dyDescent="0.35">
      <c r="K392" s="37" t="str">
        <f t="shared" si="8"/>
        <v/>
      </c>
    </row>
    <row r="393" spans="11:11" ht="18" customHeight="1" x14ac:dyDescent="0.35">
      <c r="K393" s="37" t="str">
        <f t="shared" si="8"/>
        <v/>
      </c>
    </row>
    <row r="394" spans="11:11" ht="18" customHeight="1" x14ac:dyDescent="0.35">
      <c r="K394" s="37" t="str">
        <f t="shared" si="8"/>
        <v/>
      </c>
    </row>
    <row r="395" spans="11:11" ht="18" customHeight="1" x14ac:dyDescent="0.35">
      <c r="K395" s="37" t="str">
        <f t="shared" si="8"/>
        <v/>
      </c>
    </row>
    <row r="396" spans="11:11" ht="18" customHeight="1" x14ac:dyDescent="0.35">
      <c r="K396" s="37" t="str">
        <f t="shared" si="8"/>
        <v/>
      </c>
    </row>
    <row r="397" spans="11:11" ht="18" customHeight="1" x14ac:dyDescent="0.35">
      <c r="K397" s="37" t="str">
        <f t="shared" si="8"/>
        <v/>
      </c>
    </row>
    <row r="398" spans="11:11" ht="18" customHeight="1" x14ac:dyDescent="0.35">
      <c r="K398" s="37" t="str">
        <f t="shared" si="8"/>
        <v/>
      </c>
    </row>
    <row r="399" spans="11:11" ht="18" customHeight="1" x14ac:dyDescent="0.35">
      <c r="K399" s="37" t="str">
        <f t="shared" si="8"/>
        <v/>
      </c>
    </row>
    <row r="400" spans="11:11" ht="18" customHeight="1" x14ac:dyDescent="0.35">
      <c r="K400" s="37" t="str">
        <f t="shared" si="8"/>
        <v/>
      </c>
    </row>
    <row r="401" spans="11:11" ht="18" customHeight="1" x14ac:dyDescent="0.35">
      <c r="K401" s="37" t="str">
        <f t="shared" si="8"/>
        <v/>
      </c>
    </row>
    <row r="402" spans="11:11" ht="18" customHeight="1" x14ac:dyDescent="0.35">
      <c r="K402" s="37" t="str">
        <f t="shared" si="8"/>
        <v/>
      </c>
    </row>
    <row r="403" spans="11:11" ht="18" customHeight="1" x14ac:dyDescent="0.35">
      <c r="K403" s="37" t="str">
        <f t="shared" si="8"/>
        <v/>
      </c>
    </row>
    <row r="404" spans="11:11" ht="18" customHeight="1" x14ac:dyDescent="0.35">
      <c r="K404" s="37" t="str">
        <f t="shared" si="8"/>
        <v/>
      </c>
    </row>
    <row r="405" spans="11:11" ht="18" customHeight="1" x14ac:dyDescent="0.35">
      <c r="K405" s="37" t="str">
        <f t="shared" si="8"/>
        <v/>
      </c>
    </row>
    <row r="406" spans="11:11" ht="18" customHeight="1" x14ac:dyDescent="0.35">
      <c r="K406" s="37" t="str">
        <f t="shared" si="8"/>
        <v/>
      </c>
    </row>
    <row r="407" spans="11:11" ht="18" customHeight="1" x14ac:dyDescent="0.35">
      <c r="K407" s="37" t="str">
        <f t="shared" si="8"/>
        <v/>
      </c>
    </row>
    <row r="408" spans="11:11" ht="18" customHeight="1" x14ac:dyDescent="0.35">
      <c r="K408" s="37" t="str">
        <f t="shared" si="8"/>
        <v/>
      </c>
    </row>
    <row r="409" spans="11:11" ht="18" customHeight="1" x14ac:dyDescent="0.35">
      <c r="K409" s="37" t="str">
        <f t="shared" si="8"/>
        <v/>
      </c>
    </row>
    <row r="410" spans="11:11" ht="18" customHeight="1" x14ac:dyDescent="0.35">
      <c r="K410" s="37" t="str">
        <f t="shared" si="8"/>
        <v/>
      </c>
    </row>
    <row r="411" spans="11:11" ht="18" customHeight="1" x14ac:dyDescent="0.35">
      <c r="K411" s="37" t="str">
        <f t="shared" si="8"/>
        <v/>
      </c>
    </row>
    <row r="412" spans="11:11" ht="18" customHeight="1" x14ac:dyDescent="0.35">
      <c r="K412" s="37" t="str">
        <f t="shared" si="8"/>
        <v/>
      </c>
    </row>
    <row r="413" spans="11:11" ht="18" customHeight="1" x14ac:dyDescent="0.35">
      <c r="K413" s="37" t="str">
        <f t="shared" si="8"/>
        <v/>
      </c>
    </row>
    <row r="414" spans="11:11" ht="18" customHeight="1" x14ac:dyDescent="0.35">
      <c r="K414" s="37" t="str">
        <f t="shared" si="8"/>
        <v/>
      </c>
    </row>
    <row r="415" spans="11:11" ht="18" customHeight="1" x14ac:dyDescent="0.35">
      <c r="K415" s="37" t="str">
        <f t="shared" si="8"/>
        <v/>
      </c>
    </row>
    <row r="416" spans="11:11" ht="18" customHeight="1" x14ac:dyDescent="0.35">
      <c r="K416" s="37" t="str">
        <f t="shared" si="8"/>
        <v/>
      </c>
    </row>
    <row r="417" spans="11:11" ht="18" customHeight="1" x14ac:dyDescent="0.35">
      <c r="K417" s="37" t="str">
        <f t="shared" si="8"/>
        <v/>
      </c>
    </row>
    <row r="418" spans="11:11" ht="18" customHeight="1" x14ac:dyDescent="0.35">
      <c r="K418" s="37" t="str">
        <f t="shared" si="8"/>
        <v/>
      </c>
    </row>
    <row r="419" spans="11:11" ht="18" customHeight="1" x14ac:dyDescent="0.35">
      <c r="K419" s="37" t="str">
        <f t="shared" si="8"/>
        <v/>
      </c>
    </row>
    <row r="420" spans="11:11" ht="18" customHeight="1" x14ac:dyDescent="0.35">
      <c r="K420" s="37" t="str">
        <f t="shared" si="8"/>
        <v/>
      </c>
    </row>
    <row r="421" spans="11:11" ht="18" customHeight="1" x14ac:dyDescent="0.35">
      <c r="K421" s="37" t="str">
        <f t="shared" si="8"/>
        <v/>
      </c>
    </row>
    <row r="422" spans="11:11" ht="18" customHeight="1" x14ac:dyDescent="0.35">
      <c r="K422" s="37" t="str">
        <f t="shared" si="8"/>
        <v/>
      </c>
    </row>
    <row r="423" spans="11:11" ht="18" customHeight="1" x14ac:dyDescent="0.35">
      <c r="K423" s="37" t="str">
        <f t="shared" si="8"/>
        <v/>
      </c>
    </row>
    <row r="424" spans="11:11" ht="18" customHeight="1" x14ac:dyDescent="0.35">
      <c r="K424" s="37" t="str">
        <f t="shared" si="8"/>
        <v/>
      </c>
    </row>
    <row r="425" spans="11:11" ht="18" customHeight="1" x14ac:dyDescent="0.35">
      <c r="K425" s="37" t="str">
        <f t="shared" si="8"/>
        <v/>
      </c>
    </row>
    <row r="426" spans="11:11" ht="18" customHeight="1" x14ac:dyDescent="0.35">
      <c r="K426" s="37" t="str">
        <f t="shared" si="8"/>
        <v/>
      </c>
    </row>
    <row r="427" spans="11:11" ht="18" customHeight="1" x14ac:dyDescent="0.35">
      <c r="K427" s="37" t="str">
        <f t="shared" si="8"/>
        <v/>
      </c>
    </row>
    <row r="428" spans="11:11" ht="18" customHeight="1" x14ac:dyDescent="0.35">
      <c r="K428" s="37" t="str">
        <f t="shared" si="8"/>
        <v/>
      </c>
    </row>
    <row r="429" spans="11:11" ht="18" customHeight="1" x14ac:dyDescent="0.35">
      <c r="K429" s="37" t="str">
        <f t="shared" si="8"/>
        <v/>
      </c>
    </row>
    <row r="430" spans="11:11" ht="18" customHeight="1" x14ac:dyDescent="0.35">
      <c r="K430" s="37" t="str">
        <f t="shared" si="8"/>
        <v/>
      </c>
    </row>
    <row r="431" spans="11:11" ht="18" customHeight="1" x14ac:dyDescent="0.35">
      <c r="K431" s="37" t="str">
        <f t="shared" si="8"/>
        <v/>
      </c>
    </row>
    <row r="432" spans="11:11" ht="18" customHeight="1" x14ac:dyDescent="0.35">
      <c r="K432" s="37" t="str">
        <f t="shared" si="8"/>
        <v/>
      </c>
    </row>
    <row r="433" spans="11:11" ht="18" customHeight="1" x14ac:dyDescent="0.35">
      <c r="K433" s="37" t="str">
        <f t="shared" si="8"/>
        <v/>
      </c>
    </row>
    <row r="434" spans="11:11" ht="18" customHeight="1" x14ac:dyDescent="0.35">
      <c r="K434" s="37" t="str">
        <f t="shared" si="8"/>
        <v/>
      </c>
    </row>
    <row r="435" spans="11:11" ht="18" customHeight="1" x14ac:dyDescent="0.35">
      <c r="K435" s="37" t="str">
        <f t="shared" si="8"/>
        <v/>
      </c>
    </row>
    <row r="436" spans="11:11" ht="18" customHeight="1" x14ac:dyDescent="0.35">
      <c r="K436" s="37" t="str">
        <f t="shared" si="8"/>
        <v/>
      </c>
    </row>
    <row r="437" spans="11:11" ht="18" customHeight="1" x14ac:dyDescent="0.35">
      <c r="K437" s="37" t="str">
        <f t="shared" si="8"/>
        <v/>
      </c>
    </row>
    <row r="438" spans="11:11" ht="18" customHeight="1" x14ac:dyDescent="0.35">
      <c r="K438" s="37" t="str">
        <f t="shared" si="8"/>
        <v/>
      </c>
    </row>
    <row r="439" spans="11:11" ht="18" customHeight="1" x14ac:dyDescent="0.35">
      <c r="K439" s="37" t="str">
        <f t="shared" si="8"/>
        <v/>
      </c>
    </row>
    <row r="440" spans="11:11" ht="18" customHeight="1" x14ac:dyDescent="0.35">
      <c r="K440" s="37" t="str">
        <f t="shared" si="8"/>
        <v/>
      </c>
    </row>
    <row r="441" spans="11:11" ht="18" customHeight="1" x14ac:dyDescent="0.35">
      <c r="K441" s="37" t="str">
        <f t="shared" si="8"/>
        <v/>
      </c>
    </row>
    <row r="442" spans="11:11" ht="18" customHeight="1" x14ac:dyDescent="0.35">
      <c r="K442" s="37" t="str">
        <f t="shared" si="8"/>
        <v/>
      </c>
    </row>
    <row r="443" spans="11:11" ht="18" customHeight="1" x14ac:dyDescent="0.35">
      <c r="K443" s="37" t="str">
        <f t="shared" si="8"/>
        <v/>
      </c>
    </row>
    <row r="444" spans="11:11" ht="18" customHeight="1" x14ac:dyDescent="0.35">
      <c r="K444" s="37" t="str">
        <f t="shared" si="8"/>
        <v/>
      </c>
    </row>
    <row r="445" spans="11:11" ht="18" customHeight="1" x14ac:dyDescent="0.35">
      <c r="K445" s="37" t="str">
        <f t="shared" si="8"/>
        <v/>
      </c>
    </row>
    <row r="446" spans="11:11" ht="18" customHeight="1" x14ac:dyDescent="0.35">
      <c r="K446" s="37" t="str">
        <f t="shared" si="8"/>
        <v/>
      </c>
    </row>
    <row r="447" spans="11:11" ht="18" customHeight="1" x14ac:dyDescent="0.35">
      <c r="K447" s="37" t="str">
        <f t="shared" si="8"/>
        <v/>
      </c>
    </row>
    <row r="448" spans="11:11" ht="18" customHeight="1" x14ac:dyDescent="0.35">
      <c r="K448" s="37" t="str">
        <f t="shared" si="8"/>
        <v/>
      </c>
    </row>
    <row r="449" spans="11:11" ht="18" customHeight="1" x14ac:dyDescent="0.35">
      <c r="K449" s="37" t="str">
        <f t="shared" si="8"/>
        <v/>
      </c>
    </row>
    <row r="450" spans="11:11" ht="18" customHeight="1" x14ac:dyDescent="0.35">
      <c r="K450" s="37" t="str">
        <f t="shared" si="8"/>
        <v/>
      </c>
    </row>
    <row r="451" spans="11:11" ht="18" customHeight="1" x14ac:dyDescent="0.35">
      <c r="K451" s="37" t="str">
        <f t="shared" si="8"/>
        <v/>
      </c>
    </row>
    <row r="452" spans="11:11" ht="18" customHeight="1" x14ac:dyDescent="0.35">
      <c r="K452" s="37" t="str">
        <f t="shared" ref="K452:K515" si="9">IF(OR(E452="",H452="",J452=""),"",E452*H452*J452)</f>
        <v/>
      </c>
    </row>
    <row r="453" spans="11:11" ht="18" customHeight="1" x14ac:dyDescent="0.35">
      <c r="K453" s="37" t="str">
        <f t="shared" si="9"/>
        <v/>
      </c>
    </row>
    <row r="454" spans="11:11" ht="18" customHeight="1" x14ac:dyDescent="0.35">
      <c r="K454" s="37" t="str">
        <f t="shared" si="9"/>
        <v/>
      </c>
    </row>
    <row r="455" spans="11:11" ht="18" customHeight="1" x14ac:dyDescent="0.35">
      <c r="K455" s="37" t="str">
        <f t="shared" si="9"/>
        <v/>
      </c>
    </row>
    <row r="456" spans="11:11" ht="18" customHeight="1" x14ac:dyDescent="0.35">
      <c r="K456" s="37" t="str">
        <f t="shared" si="9"/>
        <v/>
      </c>
    </row>
    <row r="457" spans="11:11" ht="18" customHeight="1" x14ac:dyDescent="0.35">
      <c r="K457" s="37" t="str">
        <f t="shared" si="9"/>
        <v/>
      </c>
    </row>
    <row r="458" spans="11:11" ht="18" customHeight="1" x14ac:dyDescent="0.35">
      <c r="K458" s="37" t="str">
        <f t="shared" si="9"/>
        <v/>
      </c>
    </row>
    <row r="459" spans="11:11" ht="18" customHeight="1" x14ac:dyDescent="0.35">
      <c r="K459" s="37" t="str">
        <f t="shared" si="9"/>
        <v/>
      </c>
    </row>
    <row r="460" spans="11:11" ht="18" customHeight="1" x14ac:dyDescent="0.35">
      <c r="K460" s="37" t="str">
        <f t="shared" si="9"/>
        <v/>
      </c>
    </row>
    <row r="461" spans="11:11" ht="18" customHeight="1" x14ac:dyDescent="0.35">
      <c r="K461" s="37" t="str">
        <f t="shared" si="9"/>
        <v/>
      </c>
    </row>
    <row r="462" spans="11:11" ht="18" customHeight="1" x14ac:dyDescent="0.35">
      <c r="K462" s="37" t="str">
        <f t="shared" si="9"/>
        <v/>
      </c>
    </row>
    <row r="463" spans="11:11" ht="18" customHeight="1" x14ac:dyDescent="0.35">
      <c r="K463" s="37" t="str">
        <f t="shared" si="9"/>
        <v/>
      </c>
    </row>
    <row r="464" spans="11:11" ht="18" customHeight="1" x14ac:dyDescent="0.35">
      <c r="K464" s="37" t="str">
        <f t="shared" si="9"/>
        <v/>
      </c>
    </row>
    <row r="465" spans="11:11" ht="18" customHeight="1" x14ac:dyDescent="0.35">
      <c r="K465" s="37" t="str">
        <f t="shared" si="9"/>
        <v/>
      </c>
    </row>
    <row r="466" spans="11:11" ht="18" customHeight="1" x14ac:dyDescent="0.35">
      <c r="K466" s="37" t="str">
        <f t="shared" si="9"/>
        <v/>
      </c>
    </row>
    <row r="467" spans="11:11" ht="18" customHeight="1" x14ac:dyDescent="0.35">
      <c r="K467" s="37" t="str">
        <f t="shared" si="9"/>
        <v/>
      </c>
    </row>
    <row r="468" spans="11:11" ht="18" customHeight="1" x14ac:dyDescent="0.35">
      <c r="K468" s="37" t="str">
        <f t="shared" si="9"/>
        <v/>
      </c>
    </row>
    <row r="469" spans="11:11" ht="18" customHeight="1" x14ac:dyDescent="0.35">
      <c r="K469" s="37" t="str">
        <f t="shared" si="9"/>
        <v/>
      </c>
    </row>
    <row r="470" spans="11:11" ht="18" customHeight="1" x14ac:dyDescent="0.35">
      <c r="K470" s="37" t="str">
        <f t="shared" si="9"/>
        <v/>
      </c>
    </row>
    <row r="471" spans="11:11" ht="18" customHeight="1" x14ac:dyDescent="0.35">
      <c r="K471" s="37" t="str">
        <f t="shared" si="9"/>
        <v/>
      </c>
    </row>
    <row r="472" spans="11:11" ht="18" customHeight="1" x14ac:dyDescent="0.35">
      <c r="K472" s="37" t="str">
        <f t="shared" si="9"/>
        <v/>
      </c>
    </row>
    <row r="473" spans="11:11" ht="18" customHeight="1" x14ac:dyDescent="0.35">
      <c r="K473" s="37" t="str">
        <f t="shared" si="9"/>
        <v/>
      </c>
    </row>
    <row r="474" spans="11:11" ht="18" customHeight="1" x14ac:dyDescent="0.35">
      <c r="K474" s="37" t="str">
        <f t="shared" si="9"/>
        <v/>
      </c>
    </row>
    <row r="475" spans="11:11" ht="18" customHeight="1" x14ac:dyDescent="0.35">
      <c r="K475" s="37" t="str">
        <f t="shared" si="9"/>
        <v/>
      </c>
    </row>
    <row r="476" spans="11:11" ht="18" customHeight="1" x14ac:dyDescent="0.35">
      <c r="K476" s="37" t="str">
        <f t="shared" si="9"/>
        <v/>
      </c>
    </row>
    <row r="477" spans="11:11" ht="18" customHeight="1" x14ac:dyDescent="0.35">
      <c r="K477" s="37" t="str">
        <f t="shared" si="9"/>
        <v/>
      </c>
    </row>
    <row r="478" spans="11:11" ht="18" customHeight="1" x14ac:dyDescent="0.35">
      <c r="K478" s="37" t="str">
        <f t="shared" si="9"/>
        <v/>
      </c>
    </row>
    <row r="479" spans="11:11" ht="18" customHeight="1" x14ac:dyDescent="0.35">
      <c r="K479" s="37" t="str">
        <f t="shared" si="9"/>
        <v/>
      </c>
    </row>
    <row r="480" spans="11:11" ht="18" customHeight="1" x14ac:dyDescent="0.35">
      <c r="K480" s="37" t="str">
        <f t="shared" si="9"/>
        <v/>
      </c>
    </row>
    <row r="481" spans="11:11" ht="18" customHeight="1" x14ac:dyDescent="0.35">
      <c r="K481" s="37" t="str">
        <f t="shared" si="9"/>
        <v/>
      </c>
    </row>
    <row r="482" spans="11:11" ht="18" customHeight="1" x14ac:dyDescent="0.35">
      <c r="K482" s="37" t="str">
        <f t="shared" si="9"/>
        <v/>
      </c>
    </row>
    <row r="483" spans="11:11" ht="18" customHeight="1" x14ac:dyDescent="0.35">
      <c r="K483" s="37" t="str">
        <f t="shared" si="9"/>
        <v/>
      </c>
    </row>
    <row r="484" spans="11:11" ht="18" customHeight="1" x14ac:dyDescent="0.35">
      <c r="K484" s="37" t="str">
        <f t="shared" si="9"/>
        <v/>
      </c>
    </row>
    <row r="485" spans="11:11" ht="18" customHeight="1" x14ac:dyDescent="0.35">
      <c r="K485" s="37" t="str">
        <f t="shared" si="9"/>
        <v/>
      </c>
    </row>
    <row r="486" spans="11:11" ht="18" customHeight="1" x14ac:dyDescent="0.35">
      <c r="K486" s="37" t="str">
        <f t="shared" si="9"/>
        <v/>
      </c>
    </row>
    <row r="487" spans="11:11" ht="18" customHeight="1" x14ac:dyDescent="0.35">
      <c r="K487" s="37" t="str">
        <f t="shared" si="9"/>
        <v/>
      </c>
    </row>
    <row r="488" spans="11:11" ht="18" customHeight="1" x14ac:dyDescent="0.35">
      <c r="K488" s="37" t="str">
        <f t="shared" si="9"/>
        <v/>
      </c>
    </row>
    <row r="489" spans="11:11" ht="18" customHeight="1" x14ac:dyDescent="0.35">
      <c r="K489" s="37" t="str">
        <f t="shared" si="9"/>
        <v/>
      </c>
    </row>
    <row r="490" spans="11:11" ht="18" customHeight="1" x14ac:dyDescent="0.35">
      <c r="K490" s="37" t="str">
        <f t="shared" si="9"/>
        <v/>
      </c>
    </row>
    <row r="491" spans="11:11" ht="18" customHeight="1" x14ac:dyDescent="0.35">
      <c r="K491" s="37" t="str">
        <f t="shared" si="9"/>
        <v/>
      </c>
    </row>
    <row r="492" spans="11:11" ht="18" customHeight="1" x14ac:dyDescent="0.35">
      <c r="K492" s="37" t="str">
        <f t="shared" si="9"/>
        <v/>
      </c>
    </row>
    <row r="493" spans="11:11" ht="18" customHeight="1" x14ac:dyDescent="0.35">
      <c r="K493" s="37" t="str">
        <f t="shared" si="9"/>
        <v/>
      </c>
    </row>
    <row r="494" spans="11:11" ht="18" customHeight="1" x14ac:dyDescent="0.35">
      <c r="K494" s="37" t="str">
        <f t="shared" si="9"/>
        <v/>
      </c>
    </row>
    <row r="495" spans="11:11" ht="18" customHeight="1" x14ac:dyDescent="0.35">
      <c r="K495" s="37" t="str">
        <f t="shared" si="9"/>
        <v/>
      </c>
    </row>
    <row r="496" spans="11:11" ht="18" customHeight="1" x14ac:dyDescent="0.35">
      <c r="K496" s="37" t="str">
        <f t="shared" si="9"/>
        <v/>
      </c>
    </row>
    <row r="497" spans="11:11" ht="18" customHeight="1" x14ac:dyDescent="0.35">
      <c r="K497" s="37" t="str">
        <f t="shared" si="9"/>
        <v/>
      </c>
    </row>
    <row r="498" spans="11:11" ht="18" customHeight="1" x14ac:dyDescent="0.35">
      <c r="K498" s="37" t="str">
        <f t="shared" si="9"/>
        <v/>
      </c>
    </row>
    <row r="499" spans="11:11" ht="18" customHeight="1" x14ac:dyDescent="0.35">
      <c r="K499" s="37" t="str">
        <f t="shared" si="9"/>
        <v/>
      </c>
    </row>
    <row r="500" spans="11:11" ht="18" customHeight="1" x14ac:dyDescent="0.35">
      <c r="K500" s="37" t="str">
        <f t="shared" si="9"/>
        <v/>
      </c>
    </row>
    <row r="501" spans="11:11" ht="18" customHeight="1" x14ac:dyDescent="0.35">
      <c r="K501" s="37" t="str">
        <f t="shared" si="9"/>
        <v/>
      </c>
    </row>
    <row r="502" spans="11:11" ht="18" customHeight="1" x14ac:dyDescent="0.35">
      <c r="K502" s="37" t="str">
        <f t="shared" si="9"/>
        <v/>
      </c>
    </row>
    <row r="503" spans="11:11" ht="18" customHeight="1" x14ac:dyDescent="0.35">
      <c r="K503" s="37" t="str">
        <f t="shared" si="9"/>
        <v/>
      </c>
    </row>
    <row r="504" spans="11:11" ht="18" customHeight="1" x14ac:dyDescent="0.35">
      <c r="K504" s="37" t="str">
        <f t="shared" si="9"/>
        <v/>
      </c>
    </row>
    <row r="505" spans="11:11" ht="18" customHeight="1" x14ac:dyDescent="0.35">
      <c r="K505" s="37" t="str">
        <f t="shared" si="9"/>
        <v/>
      </c>
    </row>
    <row r="506" spans="11:11" ht="18" customHeight="1" x14ac:dyDescent="0.35">
      <c r="K506" s="37" t="str">
        <f t="shared" si="9"/>
        <v/>
      </c>
    </row>
    <row r="507" spans="11:11" ht="18" customHeight="1" x14ac:dyDescent="0.35">
      <c r="K507" s="37" t="str">
        <f t="shared" si="9"/>
        <v/>
      </c>
    </row>
    <row r="508" spans="11:11" ht="18" customHeight="1" x14ac:dyDescent="0.35">
      <c r="K508" s="37" t="str">
        <f t="shared" si="9"/>
        <v/>
      </c>
    </row>
    <row r="509" spans="11:11" ht="18" customHeight="1" x14ac:dyDescent="0.35">
      <c r="K509" s="37" t="str">
        <f t="shared" si="9"/>
        <v/>
      </c>
    </row>
    <row r="510" spans="11:11" ht="18" customHeight="1" x14ac:dyDescent="0.35">
      <c r="K510" s="37" t="str">
        <f t="shared" si="9"/>
        <v/>
      </c>
    </row>
    <row r="511" spans="11:11" ht="18" customHeight="1" x14ac:dyDescent="0.35">
      <c r="K511" s="37" t="str">
        <f t="shared" si="9"/>
        <v/>
      </c>
    </row>
    <row r="512" spans="11:11" ht="18" customHeight="1" x14ac:dyDescent="0.35">
      <c r="K512" s="37" t="str">
        <f t="shared" si="9"/>
        <v/>
      </c>
    </row>
    <row r="513" spans="11:11" ht="18" customHeight="1" x14ac:dyDescent="0.35">
      <c r="K513" s="37" t="str">
        <f t="shared" si="9"/>
        <v/>
      </c>
    </row>
    <row r="514" spans="11:11" ht="18" customHeight="1" x14ac:dyDescent="0.35">
      <c r="K514" s="37" t="str">
        <f t="shared" si="9"/>
        <v/>
      </c>
    </row>
    <row r="515" spans="11:11" ht="18" customHeight="1" x14ac:dyDescent="0.35">
      <c r="K515" s="37" t="str">
        <f t="shared" si="9"/>
        <v/>
      </c>
    </row>
    <row r="516" spans="11:11" ht="18" customHeight="1" x14ac:dyDescent="0.35">
      <c r="K516" s="37" t="str">
        <f t="shared" ref="K516:K579" si="10">IF(OR(E516="",H516="",J516=""),"",E516*H516*J516)</f>
        <v/>
      </c>
    </row>
    <row r="517" spans="11:11" ht="18" customHeight="1" x14ac:dyDescent="0.35">
      <c r="K517" s="37" t="str">
        <f t="shared" si="10"/>
        <v/>
      </c>
    </row>
    <row r="518" spans="11:11" ht="18" customHeight="1" x14ac:dyDescent="0.35">
      <c r="K518" s="37" t="str">
        <f t="shared" si="10"/>
        <v/>
      </c>
    </row>
    <row r="519" spans="11:11" ht="18" customHeight="1" x14ac:dyDescent="0.35">
      <c r="K519" s="37" t="str">
        <f t="shared" si="10"/>
        <v/>
      </c>
    </row>
    <row r="520" spans="11:11" ht="18" customHeight="1" x14ac:dyDescent="0.35">
      <c r="K520" s="37" t="str">
        <f t="shared" si="10"/>
        <v/>
      </c>
    </row>
    <row r="521" spans="11:11" ht="18" customHeight="1" x14ac:dyDescent="0.35">
      <c r="K521" s="37" t="str">
        <f t="shared" si="10"/>
        <v/>
      </c>
    </row>
    <row r="522" spans="11:11" ht="18" customHeight="1" x14ac:dyDescent="0.35">
      <c r="K522" s="37" t="str">
        <f t="shared" si="10"/>
        <v/>
      </c>
    </row>
    <row r="523" spans="11:11" ht="18" customHeight="1" x14ac:dyDescent="0.35">
      <c r="K523" s="37" t="str">
        <f t="shared" si="10"/>
        <v/>
      </c>
    </row>
    <row r="524" spans="11:11" ht="18" customHeight="1" x14ac:dyDescent="0.35">
      <c r="K524" s="37" t="str">
        <f t="shared" si="10"/>
        <v/>
      </c>
    </row>
    <row r="525" spans="11:11" ht="18" customHeight="1" x14ac:dyDescent="0.35">
      <c r="K525" s="37" t="str">
        <f t="shared" si="10"/>
        <v/>
      </c>
    </row>
    <row r="526" spans="11:11" ht="18" customHeight="1" x14ac:dyDescent="0.35">
      <c r="K526" s="37" t="str">
        <f t="shared" si="10"/>
        <v/>
      </c>
    </row>
    <row r="527" spans="11:11" ht="18" customHeight="1" x14ac:dyDescent="0.35">
      <c r="K527" s="37" t="str">
        <f t="shared" si="10"/>
        <v/>
      </c>
    </row>
    <row r="528" spans="11:11" ht="18" customHeight="1" x14ac:dyDescent="0.35">
      <c r="K528" s="37" t="str">
        <f t="shared" si="10"/>
        <v/>
      </c>
    </row>
    <row r="529" spans="11:11" ht="18" customHeight="1" x14ac:dyDescent="0.35">
      <c r="K529" s="37" t="str">
        <f t="shared" si="10"/>
        <v/>
      </c>
    </row>
    <row r="530" spans="11:11" ht="18" customHeight="1" x14ac:dyDescent="0.35">
      <c r="K530" s="37" t="str">
        <f t="shared" si="10"/>
        <v/>
      </c>
    </row>
    <row r="531" spans="11:11" ht="18" customHeight="1" x14ac:dyDescent="0.35">
      <c r="K531" s="37" t="str">
        <f t="shared" si="10"/>
        <v/>
      </c>
    </row>
    <row r="532" spans="11:11" ht="18" customHeight="1" x14ac:dyDescent="0.35">
      <c r="K532" s="37" t="str">
        <f t="shared" si="10"/>
        <v/>
      </c>
    </row>
    <row r="533" spans="11:11" ht="18" customHeight="1" x14ac:dyDescent="0.35">
      <c r="K533" s="37" t="str">
        <f t="shared" si="10"/>
        <v/>
      </c>
    </row>
    <row r="534" spans="11:11" ht="18" customHeight="1" x14ac:dyDescent="0.35">
      <c r="K534" s="37" t="str">
        <f t="shared" si="10"/>
        <v/>
      </c>
    </row>
    <row r="535" spans="11:11" ht="18" customHeight="1" x14ac:dyDescent="0.35">
      <c r="K535" s="37" t="str">
        <f t="shared" si="10"/>
        <v/>
      </c>
    </row>
    <row r="536" spans="11:11" ht="18" customHeight="1" x14ac:dyDescent="0.35">
      <c r="K536" s="37" t="str">
        <f t="shared" si="10"/>
        <v/>
      </c>
    </row>
    <row r="537" spans="11:11" ht="18" customHeight="1" x14ac:dyDescent="0.35">
      <c r="K537" s="37" t="str">
        <f t="shared" si="10"/>
        <v/>
      </c>
    </row>
    <row r="538" spans="11:11" ht="18" customHeight="1" x14ac:dyDescent="0.35">
      <c r="K538" s="37" t="str">
        <f t="shared" si="10"/>
        <v/>
      </c>
    </row>
    <row r="539" spans="11:11" ht="18" customHeight="1" x14ac:dyDescent="0.35">
      <c r="K539" s="37" t="str">
        <f t="shared" si="10"/>
        <v/>
      </c>
    </row>
    <row r="540" spans="11:11" ht="18" customHeight="1" x14ac:dyDescent="0.35">
      <c r="K540" s="37" t="str">
        <f t="shared" si="10"/>
        <v/>
      </c>
    </row>
    <row r="541" spans="11:11" ht="18" customHeight="1" x14ac:dyDescent="0.35">
      <c r="K541" s="37" t="str">
        <f t="shared" si="10"/>
        <v/>
      </c>
    </row>
    <row r="542" spans="11:11" ht="18" customHeight="1" x14ac:dyDescent="0.35">
      <c r="K542" s="37" t="str">
        <f t="shared" si="10"/>
        <v/>
      </c>
    </row>
    <row r="543" spans="11:11" ht="18" customHeight="1" x14ac:dyDescent="0.35">
      <c r="K543" s="37" t="str">
        <f t="shared" si="10"/>
        <v/>
      </c>
    </row>
    <row r="544" spans="11:11" ht="18" customHeight="1" x14ac:dyDescent="0.35">
      <c r="K544" s="37" t="str">
        <f t="shared" si="10"/>
        <v/>
      </c>
    </row>
    <row r="545" spans="11:11" ht="18" customHeight="1" x14ac:dyDescent="0.35">
      <c r="K545" s="37" t="str">
        <f t="shared" si="10"/>
        <v/>
      </c>
    </row>
    <row r="546" spans="11:11" ht="18" customHeight="1" x14ac:dyDescent="0.35">
      <c r="K546" s="37" t="str">
        <f t="shared" si="10"/>
        <v/>
      </c>
    </row>
    <row r="547" spans="11:11" ht="18" customHeight="1" x14ac:dyDescent="0.35">
      <c r="K547" s="37" t="str">
        <f t="shared" si="10"/>
        <v/>
      </c>
    </row>
    <row r="548" spans="11:11" ht="18" customHeight="1" x14ac:dyDescent="0.35">
      <c r="K548" s="37" t="str">
        <f t="shared" si="10"/>
        <v/>
      </c>
    </row>
    <row r="549" spans="11:11" ht="18" customHeight="1" x14ac:dyDescent="0.35">
      <c r="K549" s="37" t="str">
        <f t="shared" si="10"/>
        <v/>
      </c>
    </row>
    <row r="550" spans="11:11" ht="18" customHeight="1" x14ac:dyDescent="0.35">
      <c r="K550" s="37" t="str">
        <f t="shared" si="10"/>
        <v/>
      </c>
    </row>
    <row r="551" spans="11:11" ht="18" customHeight="1" x14ac:dyDescent="0.35">
      <c r="K551" s="37" t="str">
        <f t="shared" si="10"/>
        <v/>
      </c>
    </row>
    <row r="552" spans="11:11" ht="18" customHeight="1" x14ac:dyDescent="0.35">
      <c r="K552" s="37" t="str">
        <f t="shared" si="10"/>
        <v/>
      </c>
    </row>
    <row r="553" spans="11:11" ht="18" customHeight="1" x14ac:dyDescent="0.35">
      <c r="K553" s="37" t="str">
        <f t="shared" si="10"/>
        <v/>
      </c>
    </row>
    <row r="554" spans="11:11" ht="18" customHeight="1" x14ac:dyDescent="0.35">
      <c r="K554" s="37" t="str">
        <f t="shared" si="10"/>
        <v/>
      </c>
    </row>
    <row r="555" spans="11:11" ht="18" customHeight="1" x14ac:dyDescent="0.35">
      <c r="K555" s="37" t="str">
        <f t="shared" si="10"/>
        <v/>
      </c>
    </row>
    <row r="556" spans="11:11" ht="18" customHeight="1" x14ac:dyDescent="0.35">
      <c r="K556" s="37" t="str">
        <f t="shared" si="10"/>
        <v/>
      </c>
    </row>
    <row r="557" spans="11:11" ht="18" customHeight="1" x14ac:dyDescent="0.35">
      <c r="K557" s="37" t="str">
        <f t="shared" si="10"/>
        <v/>
      </c>
    </row>
    <row r="558" spans="11:11" ht="18" customHeight="1" x14ac:dyDescent="0.35">
      <c r="K558" s="37" t="str">
        <f t="shared" si="10"/>
        <v/>
      </c>
    </row>
    <row r="559" spans="11:11" ht="18" customHeight="1" x14ac:dyDescent="0.35">
      <c r="K559" s="37" t="str">
        <f t="shared" si="10"/>
        <v/>
      </c>
    </row>
    <row r="560" spans="11:11" ht="18" customHeight="1" x14ac:dyDescent="0.35">
      <c r="K560" s="37" t="str">
        <f t="shared" si="10"/>
        <v/>
      </c>
    </row>
    <row r="561" spans="11:11" ht="18" customHeight="1" x14ac:dyDescent="0.35">
      <c r="K561" s="37" t="str">
        <f t="shared" si="10"/>
        <v/>
      </c>
    </row>
    <row r="562" spans="11:11" ht="18" customHeight="1" x14ac:dyDescent="0.35">
      <c r="K562" s="37" t="str">
        <f t="shared" si="10"/>
        <v/>
      </c>
    </row>
    <row r="563" spans="11:11" ht="18" customHeight="1" x14ac:dyDescent="0.35">
      <c r="K563" s="37" t="str">
        <f t="shared" si="10"/>
        <v/>
      </c>
    </row>
    <row r="564" spans="11:11" ht="18" customHeight="1" x14ac:dyDescent="0.35">
      <c r="K564" s="37" t="str">
        <f t="shared" si="10"/>
        <v/>
      </c>
    </row>
    <row r="565" spans="11:11" ht="18" customHeight="1" x14ac:dyDescent="0.35">
      <c r="K565" s="37" t="str">
        <f t="shared" si="10"/>
        <v/>
      </c>
    </row>
    <row r="566" spans="11:11" ht="18" customHeight="1" x14ac:dyDescent="0.35">
      <c r="K566" s="37" t="str">
        <f t="shared" si="10"/>
        <v/>
      </c>
    </row>
    <row r="567" spans="11:11" ht="18" customHeight="1" x14ac:dyDescent="0.35">
      <c r="K567" s="37" t="str">
        <f t="shared" si="10"/>
        <v/>
      </c>
    </row>
    <row r="568" spans="11:11" ht="18" customHeight="1" x14ac:dyDescent="0.35">
      <c r="K568" s="37" t="str">
        <f t="shared" si="10"/>
        <v/>
      </c>
    </row>
    <row r="569" spans="11:11" ht="18" customHeight="1" x14ac:dyDescent="0.35">
      <c r="K569" s="37" t="str">
        <f t="shared" si="10"/>
        <v/>
      </c>
    </row>
    <row r="570" spans="11:11" ht="18" customHeight="1" x14ac:dyDescent="0.35">
      <c r="K570" s="37" t="str">
        <f t="shared" si="10"/>
        <v/>
      </c>
    </row>
    <row r="571" spans="11:11" ht="18" customHeight="1" x14ac:dyDescent="0.35">
      <c r="K571" s="37" t="str">
        <f t="shared" si="10"/>
        <v/>
      </c>
    </row>
    <row r="572" spans="11:11" ht="18" customHeight="1" x14ac:dyDescent="0.35">
      <c r="K572" s="37" t="str">
        <f t="shared" si="10"/>
        <v/>
      </c>
    </row>
    <row r="573" spans="11:11" ht="18" customHeight="1" x14ac:dyDescent="0.35">
      <c r="K573" s="37" t="str">
        <f t="shared" si="10"/>
        <v/>
      </c>
    </row>
    <row r="574" spans="11:11" ht="18" customHeight="1" x14ac:dyDescent="0.35">
      <c r="K574" s="37" t="str">
        <f t="shared" si="10"/>
        <v/>
      </c>
    </row>
    <row r="575" spans="11:11" ht="18" customHeight="1" x14ac:dyDescent="0.35">
      <c r="K575" s="37" t="str">
        <f t="shared" si="10"/>
        <v/>
      </c>
    </row>
    <row r="576" spans="11:11" ht="18" customHeight="1" x14ac:dyDescent="0.35">
      <c r="K576" s="37" t="str">
        <f t="shared" si="10"/>
        <v/>
      </c>
    </row>
    <row r="577" spans="11:11" ht="18" customHeight="1" x14ac:dyDescent="0.35">
      <c r="K577" s="37" t="str">
        <f t="shared" si="10"/>
        <v/>
      </c>
    </row>
    <row r="578" spans="11:11" ht="18" customHeight="1" x14ac:dyDescent="0.35">
      <c r="K578" s="37" t="str">
        <f t="shared" si="10"/>
        <v/>
      </c>
    </row>
    <row r="579" spans="11:11" ht="18" customHeight="1" x14ac:dyDescent="0.35">
      <c r="K579" s="37" t="str">
        <f t="shared" si="10"/>
        <v/>
      </c>
    </row>
    <row r="580" spans="11:11" ht="18" customHeight="1" x14ac:dyDescent="0.35">
      <c r="K580" s="37" t="str">
        <f t="shared" ref="K580:K643" si="11">IF(OR(E580="",H580="",J580=""),"",E580*H580*J580)</f>
        <v/>
      </c>
    </row>
    <row r="581" spans="11:11" ht="18" customHeight="1" x14ac:dyDescent="0.35">
      <c r="K581" s="37" t="str">
        <f t="shared" si="11"/>
        <v/>
      </c>
    </row>
    <row r="582" spans="11:11" ht="18" customHeight="1" x14ac:dyDescent="0.35">
      <c r="K582" s="37" t="str">
        <f t="shared" si="11"/>
        <v/>
      </c>
    </row>
    <row r="583" spans="11:11" ht="18" customHeight="1" x14ac:dyDescent="0.35">
      <c r="K583" s="37" t="str">
        <f t="shared" si="11"/>
        <v/>
      </c>
    </row>
    <row r="584" spans="11:11" ht="18" customHeight="1" x14ac:dyDescent="0.35">
      <c r="K584" s="37" t="str">
        <f t="shared" si="11"/>
        <v/>
      </c>
    </row>
    <row r="585" spans="11:11" ht="18" customHeight="1" x14ac:dyDescent="0.35">
      <c r="K585" s="37" t="str">
        <f t="shared" si="11"/>
        <v/>
      </c>
    </row>
    <row r="586" spans="11:11" ht="18" customHeight="1" x14ac:dyDescent="0.35">
      <c r="K586" s="37" t="str">
        <f t="shared" si="11"/>
        <v/>
      </c>
    </row>
    <row r="587" spans="11:11" ht="18" customHeight="1" x14ac:dyDescent="0.35">
      <c r="K587" s="37" t="str">
        <f t="shared" si="11"/>
        <v/>
      </c>
    </row>
    <row r="588" spans="11:11" ht="18" customHeight="1" x14ac:dyDescent="0.35">
      <c r="K588" s="37" t="str">
        <f t="shared" si="11"/>
        <v/>
      </c>
    </row>
    <row r="589" spans="11:11" ht="18" customHeight="1" x14ac:dyDescent="0.35">
      <c r="K589" s="37" t="str">
        <f t="shared" si="11"/>
        <v/>
      </c>
    </row>
    <row r="590" spans="11:11" ht="18" customHeight="1" x14ac:dyDescent="0.35">
      <c r="K590" s="37" t="str">
        <f t="shared" si="11"/>
        <v/>
      </c>
    </row>
    <row r="591" spans="11:11" ht="18" customHeight="1" x14ac:dyDescent="0.35">
      <c r="K591" s="37" t="str">
        <f t="shared" si="11"/>
        <v/>
      </c>
    </row>
    <row r="592" spans="11:11" ht="18" customHeight="1" x14ac:dyDescent="0.35">
      <c r="K592" s="37" t="str">
        <f t="shared" si="11"/>
        <v/>
      </c>
    </row>
    <row r="593" spans="11:11" ht="18" customHeight="1" x14ac:dyDescent="0.35">
      <c r="K593" s="37" t="str">
        <f t="shared" si="11"/>
        <v/>
      </c>
    </row>
    <row r="594" spans="11:11" ht="18" customHeight="1" x14ac:dyDescent="0.35">
      <c r="K594" s="37" t="str">
        <f t="shared" si="11"/>
        <v/>
      </c>
    </row>
    <row r="595" spans="11:11" ht="18" customHeight="1" x14ac:dyDescent="0.35">
      <c r="K595" s="37" t="str">
        <f t="shared" si="11"/>
        <v/>
      </c>
    </row>
    <row r="596" spans="11:11" ht="18" customHeight="1" x14ac:dyDescent="0.35">
      <c r="K596" s="37" t="str">
        <f t="shared" si="11"/>
        <v/>
      </c>
    </row>
    <row r="597" spans="11:11" ht="18" customHeight="1" x14ac:dyDescent="0.35">
      <c r="K597" s="37" t="str">
        <f t="shared" si="11"/>
        <v/>
      </c>
    </row>
    <row r="598" spans="11:11" ht="18" customHeight="1" x14ac:dyDescent="0.35">
      <c r="K598" s="37" t="str">
        <f t="shared" si="11"/>
        <v/>
      </c>
    </row>
    <row r="599" spans="11:11" ht="18" customHeight="1" x14ac:dyDescent="0.35">
      <c r="K599" s="37" t="str">
        <f t="shared" si="11"/>
        <v/>
      </c>
    </row>
    <row r="600" spans="11:11" ht="18" customHeight="1" x14ac:dyDescent="0.35">
      <c r="K600" s="37" t="str">
        <f t="shared" si="11"/>
        <v/>
      </c>
    </row>
    <row r="601" spans="11:11" ht="18" customHeight="1" x14ac:dyDescent="0.35">
      <c r="K601" s="37" t="str">
        <f t="shared" si="11"/>
        <v/>
      </c>
    </row>
    <row r="602" spans="11:11" ht="18" customHeight="1" x14ac:dyDescent="0.35">
      <c r="K602" s="37" t="str">
        <f t="shared" si="11"/>
        <v/>
      </c>
    </row>
    <row r="603" spans="11:11" ht="18" customHeight="1" x14ac:dyDescent="0.35">
      <c r="K603" s="37" t="str">
        <f t="shared" si="11"/>
        <v/>
      </c>
    </row>
    <row r="604" spans="11:11" ht="18" customHeight="1" x14ac:dyDescent="0.35">
      <c r="K604" s="37" t="str">
        <f t="shared" si="11"/>
        <v/>
      </c>
    </row>
    <row r="605" spans="11:11" ht="18" customHeight="1" x14ac:dyDescent="0.35">
      <c r="K605" s="37" t="str">
        <f t="shared" si="11"/>
        <v/>
      </c>
    </row>
    <row r="606" spans="11:11" ht="18" customHeight="1" x14ac:dyDescent="0.35">
      <c r="K606" s="37" t="str">
        <f t="shared" si="11"/>
        <v/>
      </c>
    </row>
    <row r="607" spans="11:11" ht="18" customHeight="1" x14ac:dyDescent="0.35">
      <c r="K607" s="37" t="str">
        <f t="shared" si="11"/>
        <v/>
      </c>
    </row>
    <row r="608" spans="11:11" ht="18" customHeight="1" x14ac:dyDescent="0.35">
      <c r="K608" s="37" t="str">
        <f t="shared" si="11"/>
        <v/>
      </c>
    </row>
    <row r="609" spans="11:11" ht="18" customHeight="1" x14ac:dyDescent="0.35">
      <c r="K609" s="37" t="str">
        <f t="shared" si="11"/>
        <v/>
      </c>
    </row>
    <row r="610" spans="11:11" ht="18" customHeight="1" x14ac:dyDescent="0.35">
      <c r="K610" s="37" t="str">
        <f t="shared" si="11"/>
        <v/>
      </c>
    </row>
    <row r="611" spans="11:11" ht="18" customHeight="1" x14ac:dyDescent="0.35">
      <c r="K611" s="37" t="str">
        <f t="shared" si="11"/>
        <v/>
      </c>
    </row>
    <row r="612" spans="11:11" ht="18" customHeight="1" x14ac:dyDescent="0.35">
      <c r="K612" s="37" t="str">
        <f t="shared" si="11"/>
        <v/>
      </c>
    </row>
    <row r="613" spans="11:11" ht="18" customHeight="1" x14ac:dyDescent="0.35">
      <c r="K613" s="37" t="str">
        <f t="shared" si="11"/>
        <v/>
      </c>
    </row>
    <row r="614" spans="11:11" ht="18" customHeight="1" x14ac:dyDescent="0.35">
      <c r="K614" s="37" t="str">
        <f t="shared" si="11"/>
        <v/>
      </c>
    </row>
    <row r="615" spans="11:11" ht="18" customHeight="1" x14ac:dyDescent="0.35">
      <c r="K615" s="37" t="str">
        <f t="shared" si="11"/>
        <v/>
      </c>
    </row>
    <row r="616" spans="11:11" ht="18" customHeight="1" x14ac:dyDescent="0.35">
      <c r="K616" s="37" t="str">
        <f t="shared" si="11"/>
        <v/>
      </c>
    </row>
    <row r="617" spans="11:11" ht="18" customHeight="1" x14ac:dyDescent="0.35">
      <c r="K617" s="37" t="str">
        <f t="shared" si="11"/>
        <v/>
      </c>
    </row>
    <row r="618" spans="11:11" ht="18" customHeight="1" x14ac:dyDescent="0.35">
      <c r="K618" s="37" t="str">
        <f t="shared" si="11"/>
        <v/>
      </c>
    </row>
    <row r="619" spans="11:11" ht="18" customHeight="1" x14ac:dyDescent="0.35">
      <c r="K619" s="37" t="str">
        <f t="shared" si="11"/>
        <v/>
      </c>
    </row>
    <row r="620" spans="11:11" ht="18" customHeight="1" x14ac:dyDescent="0.35">
      <c r="K620" s="37" t="str">
        <f t="shared" si="11"/>
        <v/>
      </c>
    </row>
    <row r="621" spans="11:11" ht="18" customHeight="1" x14ac:dyDescent="0.35">
      <c r="K621" s="37" t="str">
        <f t="shared" si="11"/>
        <v/>
      </c>
    </row>
    <row r="622" spans="11:11" ht="18" customHeight="1" x14ac:dyDescent="0.35">
      <c r="K622" s="37" t="str">
        <f t="shared" si="11"/>
        <v/>
      </c>
    </row>
    <row r="623" spans="11:11" ht="18" customHeight="1" x14ac:dyDescent="0.35">
      <c r="K623" s="37" t="str">
        <f t="shared" si="11"/>
        <v/>
      </c>
    </row>
    <row r="624" spans="11:11" ht="18" customHeight="1" x14ac:dyDescent="0.35">
      <c r="K624" s="37" t="str">
        <f t="shared" si="11"/>
        <v/>
      </c>
    </row>
    <row r="625" spans="11:11" ht="18" customHeight="1" x14ac:dyDescent="0.35">
      <c r="K625" s="37" t="str">
        <f t="shared" si="11"/>
        <v/>
      </c>
    </row>
    <row r="626" spans="11:11" ht="18" customHeight="1" x14ac:dyDescent="0.35">
      <c r="K626" s="37" t="str">
        <f t="shared" si="11"/>
        <v/>
      </c>
    </row>
    <row r="627" spans="11:11" ht="18" customHeight="1" x14ac:dyDescent="0.35">
      <c r="K627" s="37" t="str">
        <f t="shared" si="11"/>
        <v/>
      </c>
    </row>
    <row r="628" spans="11:11" ht="18" customHeight="1" x14ac:dyDescent="0.35">
      <c r="K628" s="37" t="str">
        <f t="shared" si="11"/>
        <v/>
      </c>
    </row>
    <row r="629" spans="11:11" ht="18" customHeight="1" x14ac:dyDescent="0.35">
      <c r="K629" s="37" t="str">
        <f t="shared" si="11"/>
        <v/>
      </c>
    </row>
    <row r="630" spans="11:11" ht="18" customHeight="1" x14ac:dyDescent="0.35">
      <c r="K630" s="37" t="str">
        <f t="shared" si="11"/>
        <v/>
      </c>
    </row>
    <row r="631" spans="11:11" ht="18" customHeight="1" x14ac:dyDescent="0.35">
      <c r="K631" s="37" t="str">
        <f t="shared" si="11"/>
        <v/>
      </c>
    </row>
    <row r="632" spans="11:11" ht="18" customHeight="1" x14ac:dyDescent="0.35">
      <c r="K632" s="37" t="str">
        <f t="shared" si="11"/>
        <v/>
      </c>
    </row>
    <row r="633" spans="11:11" ht="18" customHeight="1" x14ac:dyDescent="0.35">
      <c r="K633" s="37" t="str">
        <f t="shared" si="11"/>
        <v/>
      </c>
    </row>
    <row r="634" spans="11:11" ht="18" customHeight="1" x14ac:dyDescent="0.35">
      <c r="K634" s="37" t="str">
        <f t="shared" si="11"/>
        <v/>
      </c>
    </row>
    <row r="635" spans="11:11" ht="18" customHeight="1" x14ac:dyDescent="0.35">
      <c r="K635" s="37" t="str">
        <f t="shared" si="11"/>
        <v/>
      </c>
    </row>
    <row r="636" spans="11:11" ht="18" customHeight="1" x14ac:dyDescent="0.35">
      <c r="K636" s="37" t="str">
        <f t="shared" si="11"/>
        <v/>
      </c>
    </row>
    <row r="637" spans="11:11" ht="18" customHeight="1" x14ac:dyDescent="0.35">
      <c r="K637" s="37" t="str">
        <f t="shared" si="11"/>
        <v/>
      </c>
    </row>
    <row r="638" spans="11:11" ht="18" customHeight="1" x14ac:dyDescent="0.35">
      <c r="K638" s="37" t="str">
        <f t="shared" si="11"/>
        <v/>
      </c>
    </row>
    <row r="639" spans="11:11" ht="18" customHeight="1" x14ac:dyDescent="0.35">
      <c r="K639" s="37" t="str">
        <f t="shared" si="11"/>
        <v/>
      </c>
    </row>
    <row r="640" spans="11:11" ht="18" customHeight="1" x14ac:dyDescent="0.35">
      <c r="K640" s="37" t="str">
        <f t="shared" si="11"/>
        <v/>
      </c>
    </row>
    <row r="641" spans="11:11" ht="18" customHeight="1" x14ac:dyDescent="0.35">
      <c r="K641" s="37" t="str">
        <f t="shared" si="11"/>
        <v/>
      </c>
    </row>
    <row r="642" spans="11:11" ht="18" customHeight="1" x14ac:dyDescent="0.35">
      <c r="K642" s="37" t="str">
        <f t="shared" si="11"/>
        <v/>
      </c>
    </row>
    <row r="643" spans="11:11" ht="18" customHeight="1" x14ac:dyDescent="0.35">
      <c r="K643" s="37" t="str">
        <f t="shared" si="11"/>
        <v/>
      </c>
    </row>
    <row r="644" spans="11:11" ht="18" customHeight="1" x14ac:dyDescent="0.35">
      <c r="K644" s="37" t="str">
        <f t="shared" ref="K644:K707" si="12">IF(OR(E644="",H644="",J644=""),"",E644*H644*J644)</f>
        <v/>
      </c>
    </row>
    <row r="645" spans="11:11" ht="18" customHeight="1" x14ac:dyDescent="0.35">
      <c r="K645" s="37" t="str">
        <f t="shared" si="12"/>
        <v/>
      </c>
    </row>
    <row r="646" spans="11:11" ht="18" customHeight="1" x14ac:dyDescent="0.35">
      <c r="K646" s="37" t="str">
        <f t="shared" si="12"/>
        <v/>
      </c>
    </row>
    <row r="647" spans="11:11" ht="18" customHeight="1" x14ac:dyDescent="0.35">
      <c r="K647" s="37" t="str">
        <f t="shared" si="12"/>
        <v/>
      </c>
    </row>
    <row r="648" spans="11:11" ht="18" customHeight="1" x14ac:dyDescent="0.35">
      <c r="K648" s="37" t="str">
        <f t="shared" si="12"/>
        <v/>
      </c>
    </row>
    <row r="649" spans="11:11" ht="18" customHeight="1" x14ac:dyDescent="0.35">
      <c r="K649" s="37" t="str">
        <f t="shared" si="12"/>
        <v/>
      </c>
    </row>
    <row r="650" spans="11:11" ht="18" customHeight="1" x14ac:dyDescent="0.35">
      <c r="K650" s="37" t="str">
        <f t="shared" si="12"/>
        <v/>
      </c>
    </row>
    <row r="651" spans="11:11" ht="18" customHeight="1" x14ac:dyDescent="0.35">
      <c r="K651" s="37" t="str">
        <f t="shared" si="12"/>
        <v/>
      </c>
    </row>
    <row r="652" spans="11:11" ht="18" customHeight="1" x14ac:dyDescent="0.35">
      <c r="K652" s="37" t="str">
        <f t="shared" si="12"/>
        <v/>
      </c>
    </row>
    <row r="653" spans="11:11" ht="18" customHeight="1" x14ac:dyDescent="0.35">
      <c r="K653" s="37" t="str">
        <f t="shared" si="12"/>
        <v/>
      </c>
    </row>
    <row r="654" spans="11:11" ht="18" customHeight="1" x14ac:dyDescent="0.35">
      <c r="K654" s="37" t="str">
        <f t="shared" si="12"/>
        <v/>
      </c>
    </row>
    <row r="655" spans="11:11" ht="18" customHeight="1" x14ac:dyDescent="0.35">
      <c r="K655" s="37" t="str">
        <f t="shared" si="12"/>
        <v/>
      </c>
    </row>
    <row r="656" spans="11:11" ht="18" customHeight="1" x14ac:dyDescent="0.35">
      <c r="K656" s="37" t="str">
        <f t="shared" si="12"/>
        <v/>
      </c>
    </row>
    <row r="657" spans="11:11" ht="18" customHeight="1" x14ac:dyDescent="0.35">
      <c r="K657" s="37" t="str">
        <f t="shared" si="12"/>
        <v/>
      </c>
    </row>
    <row r="658" spans="11:11" ht="18" customHeight="1" x14ac:dyDescent="0.35">
      <c r="K658" s="37" t="str">
        <f t="shared" si="12"/>
        <v/>
      </c>
    </row>
    <row r="659" spans="11:11" ht="18" customHeight="1" x14ac:dyDescent="0.35">
      <c r="K659" s="37" t="str">
        <f t="shared" si="12"/>
        <v/>
      </c>
    </row>
    <row r="660" spans="11:11" ht="18" customHeight="1" x14ac:dyDescent="0.35">
      <c r="K660" s="37" t="str">
        <f t="shared" si="12"/>
        <v/>
      </c>
    </row>
    <row r="661" spans="11:11" ht="18" customHeight="1" x14ac:dyDescent="0.35">
      <c r="K661" s="37" t="str">
        <f t="shared" si="12"/>
        <v/>
      </c>
    </row>
    <row r="662" spans="11:11" ht="18" customHeight="1" x14ac:dyDescent="0.35">
      <c r="K662" s="37" t="str">
        <f t="shared" si="12"/>
        <v/>
      </c>
    </row>
    <row r="663" spans="11:11" ht="18" customHeight="1" x14ac:dyDescent="0.35">
      <c r="K663" s="37" t="str">
        <f t="shared" si="12"/>
        <v/>
      </c>
    </row>
    <row r="664" spans="11:11" ht="18" customHeight="1" x14ac:dyDescent="0.35">
      <c r="K664" s="37" t="str">
        <f t="shared" si="12"/>
        <v/>
      </c>
    </row>
    <row r="665" spans="11:11" ht="18" customHeight="1" x14ac:dyDescent="0.35">
      <c r="K665" s="37" t="str">
        <f t="shared" si="12"/>
        <v/>
      </c>
    </row>
    <row r="666" spans="11:11" ht="18" customHeight="1" x14ac:dyDescent="0.35">
      <c r="K666" s="37" t="str">
        <f t="shared" si="12"/>
        <v/>
      </c>
    </row>
    <row r="667" spans="11:11" ht="18" customHeight="1" x14ac:dyDescent="0.35">
      <c r="K667" s="37" t="str">
        <f t="shared" si="12"/>
        <v/>
      </c>
    </row>
    <row r="668" spans="11:11" ht="18" customHeight="1" x14ac:dyDescent="0.35">
      <c r="K668" s="37" t="str">
        <f t="shared" si="12"/>
        <v/>
      </c>
    </row>
    <row r="669" spans="11:11" ht="18" customHeight="1" x14ac:dyDescent="0.35">
      <c r="K669" s="37" t="str">
        <f t="shared" si="12"/>
        <v/>
      </c>
    </row>
    <row r="670" spans="11:11" ht="18" customHeight="1" x14ac:dyDescent="0.35">
      <c r="K670" s="37" t="str">
        <f t="shared" si="12"/>
        <v/>
      </c>
    </row>
    <row r="671" spans="11:11" ht="18" customHeight="1" x14ac:dyDescent="0.35">
      <c r="K671" s="37" t="str">
        <f t="shared" si="12"/>
        <v/>
      </c>
    </row>
    <row r="672" spans="11:11" ht="18" customHeight="1" x14ac:dyDescent="0.35">
      <c r="K672" s="37" t="str">
        <f t="shared" si="12"/>
        <v/>
      </c>
    </row>
    <row r="673" spans="11:11" ht="18" customHeight="1" x14ac:dyDescent="0.35">
      <c r="K673" s="37" t="str">
        <f t="shared" si="12"/>
        <v/>
      </c>
    </row>
    <row r="674" spans="11:11" ht="18" customHeight="1" x14ac:dyDescent="0.35">
      <c r="K674" s="37" t="str">
        <f t="shared" si="12"/>
        <v/>
      </c>
    </row>
    <row r="675" spans="11:11" ht="18" customHeight="1" x14ac:dyDescent="0.35">
      <c r="K675" s="37" t="str">
        <f t="shared" si="12"/>
        <v/>
      </c>
    </row>
    <row r="676" spans="11:11" ht="18" customHeight="1" x14ac:dyDescent="0.35">
      <c r="K676" s="37" t="str">
        <f t="shared" si="12"/>
        <v/>
      </c>
    </row>
    <row r="677" spans="11:11" ht="18" customHeight="1" x14ac:dyDescent="0.35">
      <c r="K677" s="37" t="str">
        <f t="shared" si="12"/>
        <v/>
      </c>
    </row>
    <row r="678" spans="11:11" ht="18" customHeight="1" x14ac:dyDescent="0.35">
      <c r="K678" s="37" t="str">
        <f t="shared" si="12"/>
        <v/>
      </c>
    </row>
    <row r="679" spans="11:11" ht="18" customHeight="1" x14ac:dyDescent="0.35">
      <c r="K679" s="37" t="str">
        <f t="shared" si="12"/>
        <v/>
      </c>
    </row>
    <row r="680" spans="11:11" ht="18" customHeight="1" x14ac:dyDescent="0.35">
      <c r="K680" s="37" t="str">
        <f t="shared" si="12"/>
        <v/>
      </c>
    </row>
    <row r="681" spans="11:11" ht="18" customHeight="1" x14ac:dyDescent="0.35">
      <c r="K681" s="37" t="str">
        <f t="shared" si="12"/>
        <v/>
      </c>
    </row>
    <row r="682" spans="11:11" ht="18" customHeight="1" x14ac:dyDescent="0.35">
      <c r="K682" s="37" t="str">
        <f t="shared" si="12"/>
        <v/>
      </c>
    </row>
    <row r="683" spans="11:11" ht="18" customHeight="1" x14ac:dyDescent="0.35">
      <c r="K683" s="37" t="str">
        <f t="shared" si="12"/>
        <v/>
      </c>
    </row>
    <row r="684" spans="11:11" ht="18" customHeight="1" x14ac:dyDescent="0.35">
      <c r="K684" s="37" t="str">
        <f t="shared" si="12"/>
        <v/>
      </c>
    </row>
    <row r="685" spans="11:11" ht="18" customHeight="1" x14ac:dyDescent="0.35">
      <c r="K685" s="37" t="str">
        <f t="shared" si="12"/>
        <v/>
      </c>
    </row>
    <row r="686" spans="11:11" ht="18" customHeight="1" x14ac:dyDescent="0.35">
      <c r="K686" s="37" t="str">
        <f t="shared" si="12"/>
        <v/>
      </c>
    </row>
    <row r="687" spans="11:11" ht="18" customHeight="1" x14ac:dyDescent="0.35">
      <c r="K687" s="37" t="str">
        <f t="shared" si="12"/>
        <v/>
      </c>
    </row>
    <row r="688" spans="11:11" ht="18" customHeight="1" x14ac:dyDescent="0.35">
      <c r="K688" s="37" t="str">
        <f t="shared" si="12"/>
        <v/>
      </c>
    </row>
    <row r="689" spans="11:11" ht="18" customHeight="1" x14ac:dyDescent="0.35">
      <c r="K689" s="37" t="str">
        <f t="shared" si="12"/>
        <v/>
      </c>
    </row>
    <row r="690" spans="11:11" ht="18" customHeight="1" x14ac:dyDescent="0.35">
      <c r="K690" s="37" t="str">
        <f t="shared" si="12"/>
        <v/>
      </c>
    </row>
    <row r="691" spans="11:11" ht="18" customHeight="1" x14ac:dyDescent="0.35">
      <c r="K691" s="37" t="str">
        <f t="shared" si="12"/>
        <v/>
      </c>
    </row>
    <row r="692" spans="11:11" ht="18" customHeight="1" x14ac:dyDescent="0.35">
      <c r="K692" s="37" t="str">
        <f t="shared" si="12"/>
        <v/>
      </c>
    </row>
    <row r="693" spans="11:11" ht="18" customHeight="1" x14ac:dyDescent="0.35">
      <c r="K693" s="37" t="str">
        <f t="shared" si="12"/>
        <v/>
      </c>
    </row>
    <row r="694" spans="11:11" ht="18" customHeight="1" x14ac:dyDescent="0.35">
      <c r="K694" s="37" t="str">
        <f t="shared" si="12"/>
        <v/>
      </c>
    </row>
    <row r="695" spans="11:11" ht="18" customHeight="1" x14ac:dyDescent="0.35">
      <c r="K695" s="37" t="str">
        <f t="shared" si="12"/>
        <v/>
      </c>
    </row>
    <row r="696" spans="11:11" ht="18" customHeight="1" x14ac:dyDescent="0.35">
      <c r="K696" s="37" t="str">
        <f t="shared" si="12"/>
        <v/>
      </c>
    </row>
    <row r="697" spans="11:11" ht="18" customHeight="1" x14ac:dyDescent="0.35">
      <c r="K697" s="37" t="str">
        <f t="shared" si="12"/>
        <v/>
      </c>
    </row>
    <row r="698" spans="11:11" ht="18" customHeight="1" x14ac:dyDescent="0.35">
      <c r="K698" s="37" t="str">
        <f t="shared" si="12"/>
        <v/>
      </c>
    </row>
    <row r="699" spans="11:11" ht="18" customHeight="1" x14ac:dyDescent="0.35">
      <c r="K699" s="37" t="str">
        <f t="shared" si="12"/>
        <v/>
      </c>
    </row>
    <row r="700" spans="11:11" ht="18" customHeight="1" x14ac:dyDescent="0.35">
      <c r="K700" s="37" t="str">
        <f t="shared" si="12"/>
        <v/>
      </c>
    </row>
    <row r="701" spans="11:11" ht="18" customHeight="1" x14ac:dyDescent="0.35">
      <c r="K701" s="37" t="str">
        <f t="shared" si="12"/>
        <v/>
      </c>
    </row>
    <row r="702" spans="11:11" ht="18" customHeight="1" x14ac:dyDescent="0.35">
      <c r="K702" s="37" t="str">
        <f t="shared" si="12"/>
        <v/>
      </c>
    </row>
    <row r="703" spans="11:11" ht="18" customHeight="1" x14ac:dyDescent="0.35">
      <c r="K703" s="37" t="str">
        <f t="shared" si="12"/>
        <v/>
      </c>
    </row>
    <row r="704" spans="11:11" ht="18" customHeight="1" x14ac:dyDescent="0.35">
      <c r="K704" s="37" t="str">
        <f t="shared" si="12"/>
        <v/>
      </c>
    </row>
    <row r="705" spans="11:11" ht="18" customHeight="1" x14ac:dyDescent="0.35">
      <c r="K705" s="37" t="str">
        <f t="shared" si="12"/>
        <v/>
      </c>
    </row>
    <row r="706" spans="11:11" ht="18" customHeight="1" x14ac:dyDescent="0.35">
      <c r="K706" s="37" t="str">
        <f t="shared" si="12"/>
        <v/>
      </c>
    </row>
    <row r="707" spans="11:11" ht="18" customHeight="1" x14ac:dyDescent="0.35">
      <c r="K707" s="37" t="str">
        <f t="shared" si="12"/>
        <v/>
      </c>
    </row>
    <row r="708" spans="11:11" ht="18" customHeight="1" x14ac:dyDescent="0.35">
      <c r="K708" s="37" t="str">
        <f t="shared" ref="K708:K771" si="13">IF(OR(E708="",H708="",J708=""),"",E708*H708*J708)</f>
        <v/>
      </c>
    </row>
    <row r="709" spans="11:11" ht="18" customHeight="1" x14ac:dyDescent="0.35">
      <c r="K709" s="37" t="str">
        <f t="shared" si="13"/>
        <v/>
      </c>
    </row>
    <row r="710" spans="11:11" ht="18" customHeight="1" x14ac:dyDescent="0.35">
      <c r="K710" s="37" t="str">
        <f t="shared" si="13"/>
        <v/>
      </c>
    </row>
    <row r="711" spans="11:11" ht="18" customHeight="1" x14ac:dyDescent="0.35">
      <c r="K711" s="37" t="str">
        <f t="shared" si="13"/>
        <v/>
      </c>
    </row>
    <row r="712" spans="11:11" ht="18" customHeight="1" x14ac:dyDescent="0.35">
      <c r="K712" s="37" t="str">
        <f t="shared" si="13"/>
        <v/>
      </c>
    </row>
    <row r="713" spans="11:11" ht="18" customHeight="1" x14ac:dyDescent="0.35">
      <c r="K713" s="37" t="str">
        <f t="shared" si="13"/>
        <v/>
      </c>
    </row>
    <row r="714" spans="11:11" ht="18" customHeight="1" x14ac:dyDescent="0.35">
      <c r="K714" s="37" t="str">
        <f t="shared" si="13"/>
        <v/>
      </c>
    </row>
    <row r="715" spans="11:11" ht="18" customHeight="1" x14ac:dyDescent="0.35">
      <c r="K715" s="37" t="str">
        <f t="shared" si="13"/>
        <v/>
      </c>
    </row>
    <row r="716" spans="11:11" ht="18" customHeight="1" x14ac:dyDescent="0.35">
      <c r="K716" s="37" t="str">
        <f t="shared" si="13"/>
        <v/>
      </c>
    </row>
    <row r="717" spans="11:11" ht="18" customHeight="1" x14ac:dyDescent="0.35">
      <c r="K717" s="37" t="str">
        <f t="shared" si="13"/>
        <v/>
      </c>
    </row>
    <row r="718" spans="11:11" ht="18" customHeight="1" x14ac:dyDescent="0.35">
      <c r="K718" s="37" t="str">
        <f t="shared" si="13"/>
        <v/>
      </c>
    </row>
    <row r="719" spans="11:11" ht="18" customHeight="1" x14ac:dyDescent="0.35">
      <c r="K719" s="37" t="str">
        <f t="shared" si="13"/>
        <v/>
      </c>
    </row>
    <row r="720" spans="11:11" ht="18" customHeight="1" x14ac:dyDescent="0.35">
      <c r="K720" s="37" t="str">
        <f t="shared" si="13"/>
        <v/>
      </c>
    </row>
    <row r="721" spans="11:11" ht="18" customHeight="1" x14ac:dyDescent="0.35">
      <c r="K721" s="37" t="str">
        <f t="shared" si="13"/>
        <v/>
      </c>
    </row>
    <row r="722" spans="11:11" ht="18" customHeight="1" x14ac:dyDescent="0.35">
      <c r="K722" s="37" t="str">
        <f t="shared" si="13"/>
        <v/>
      </c>
    </row>
    <row r="723" spans="11:11" ht="18" customHeight="1" x14ac:dyDescent="0.35">
      <c r="K723" s="37" t="str">
        <f t="shared" si="13"/>
        <v/>
      </c>
    </row>
    <row r="724" spans="11:11" ht="18" customHeight="1" x14ac:dyDescent="0.35">
      <c r="K724" s="37" t="str">
        <f t="shared" si="13"/>
        <v/>
      </c>
    </row>
    <row r="725" spans="11:11" ht="18" customHeight="1" x14ac:dyDescent="0.35">
      <c r="K725" s="37" t="str">
        <f t="shared" si="13"/>
        <v/>
      </c>
    </row>
    <row r="726" spans="11:11" ht="18" customHeight="1" x14ac:dyDescent="0.35">
      <c r="K726" s="37" t="str">
        <f t="shared" si="13"/>
        <v/>
      </c>
    </row>
    <row r="727" spans="11:11" ht="18" customHeight="1" x14ac:dyDescent="0.35">
      <c r="K727" s="37" t="str">
        <f t="shared" si="13"/>
        <v/>
      </c>
    </row>
    <row r="728" spans="11:11" ht="18" customHeight="1" x14ac:dyDescent="0.35">
      <c r="K728" s="37" t="str">
        <f t="shared" si="13"/>
        <v/>
      </c>
    </row>
    <row r="729" spans="11:11" ht="18" customHeight="1" x14ac:dyDescent="0.35">
      <c r="K729" s="37" t="str">
        <f t="shared" si="13"/>
        <v/>
      </c>
    </row>
    <row r="730" spans="11:11" ht="18" customHeight="1" x14ac:dyDescent="0.35">
      <c r="K730" s="37" t="str">
        <f t="shared" si="13"/>
        <v/>
      </c>
    </row>
    <row r="731" spans="11:11" ht="18" customHeight="1" x14ac:dyDescent="0.35">
      <c r="K731" s="37" t="str">
        <f t="shared" si="13"/>
        <v/>
      </c>
    </row>
    <row r="732" spans="11:11" ht="18" customHeight="1" x14ac:dyDescent="0.35">
      <c r="K732" s="37" t="str">
        <f t="shared" si="13"/>
        <v/>
      </c>
    </row>
    <row r="733" spans="11:11" ht="18" customHeight="1" x14ac:dyDescent="0.35">
      <c r="K733" s="37" t="str">
        <f t="shared" si="13"/>
        <v/>
      </c>
    </row>
    <row r="734" spans="11:11" ht="18" customHeight="1" x14ac:dyDescent="0.35">
      <c r="K734" s="37" t="str">
        <f t="shared" si="13"/>
        <v/>
      </c>
    </row>
    <row r="735" spans="11:11" ht="18" customHeight="1" x14ac:dyDescent="0.35">
      <c r="K735" s="37" t="str">
        <f t="shared" si="13"/>
        <v/>
      </c>
    </row>
    <row r="736" spans="11:11" ht="18" customHeight="1" x14ac:dyDescent="0.35">
      <c r="K736" s="37" t="str">
        <f t="shared" si="13"/>
        <v/>
      </c>
    </row>
    <row r="737" spans="11:11" ht="18" customHeight="1" x14ac:dyDescent="0.35">
      <c r="K737" s="37" t="str">
        <f t="shared" si="13"/>
        <v/>
      </c>
    </row>
    <row r="738" spans="11:11" ht="18" customHeight="1" x14ac:dyDescent="0.35">
      <c r="K738" s="37" t="str">
        <f t="shared" si="13"/>
        <v/>
      </c>
    </row>
    <row r="739" spans="11:11" ht="18" customHeight="1" x14ac:dyDescent="0.35">
      <c r="K739" s="37" t="str">
        <f t="shared" si="13"/>
        <v/>
      </c>
    </row>
    <row r="740" spans="11:11" ht="18" customHeight="1" x14ac:dyDescent="0.35">
      <c r="K740" s="37" t="str">
        <f t="shared" si="13"/>
        <v/>
      </c>
    </row>
    <row r="741" spans="11:11" ht="18" customHeight="1" x14ac:dyDescent="0.35">
      <c r="K741" s="37" t="str">
        <f t="shared" si="13"/>
        <v/>
      </c>
    </row>
    <row r="742" spans="11:11" ht="18" customHeight="1" x14ac:dyDescent="0.35">
      <c r="K742" s="37" t="str">
        <f t="shared" si="13"/>
        <v/>
      </c>
    </row>
    <row r="743" spans="11:11" ht="18" customHeight="1" x14ac:dyDescent="0.35">
      <c r="K743" s="37" t="str">
        <f t="shared" si="13"/>
        <v/>
      </c>
    </row>
    <row r="744" spans="11:11" ht="18" customHeight="1" x14ac:dyDescent="0.35">
      <c r="K744" s="37" t="str">
        <f t="shared" si="13"/>
        <v/>
      </c>
    </row>
    <row r="745" spans="11:11" ht="18" customHeight="1" x14ac:dyDescent="0.35">
      <c r="K745" s="37" t="str">
        <f t="shared" si="13"/>
        <v/>
      </c>
    </row>
    <row r="746" spans="11:11" ht="18" customHeight="1" x14ac:dyDescent="0.35">
      <c r="K746" s="37" t="str">
        <f t="shared" si="13"/>
        <v/>
      </c>
    </row>
    <row r="747" spans="11:11" ht="18" customHeight="1" x14ac:dyDescent="0.35">
      <c r="K747" s="37" t="str">
        <f t="shared" si="13"/>
        <v/>
      </c>
    </row>
    <row r="748" spans="11:11" ht="18" customHeight="1" x14ac:dyDescent="0.35">
      <c r="K748" s="37" t="str">
        <f t="shared" si="13"/>
        <v/>
      </c>
    </row>
    <row r="749" spans="11:11" ht="18" customHeight="1" x14ac:dyDescent="0.35">
      <c r="K749" s="37" t="str">
        <f t="shared" si="13"/>
        <v/>
      </c>
    </row>
    <row r="750" spans="11:11" ht="18" customHeight="1" x14ac:dyDescent="0.35">
      <c r="K750" s="37" t="str">
        <f t="shared" si="13"/>
        <v/>
      </c>
    </row>
    <row r="751" spans="11:11" ht="18" customHeight="1" x14ac:dyDescent="0.35">
      <c r="K751" s="37" t="str">
        <f t="shared" si="13"/>
        <v/>
      </c>
    </row>
    <row r="752" spans="11:11" ht="18" customHeight="1" x14ac:dyDescent="0.35">
      <c r="K752" s="37" t="str">
        <f t="shared" si="13"/>
        <v/>
      </c>
    </row>
    <row r="753" spans="11:11" ht="18" customHeight="1" x14ac:dyDescent="0.35">
      <c r="K753" s="37" t="str">
        <f t="shared" si="13"/>
        <v/>
      </c>
    </row>
    <row r="754" spans="11:11" ht="18" customHeight="1" x14ac:dyDescent="0.35">
      <c r="K754" s="37" t="str">
        <f t="shared" si="13"/>
        <v/>
      </c>
    </row>
    <row r="755" spans="11:11" ht="18" customHeight="1" x14ac:dyDescent="0.35">
      <c r="K755" s="37" t="str">
        <f t="shared" si="13"/>
        <v/>
      </c>
    </row>
    <row r="756" spans="11:11" ht="18" customHeight="1" x14ac:dyDescent="0.35">
      <c r="K756" s="37" t="str">
        <f t="shared" si="13"/>
        <v/>
      </c>
    </row>
    <row r="757" spans="11:11" ht="18" customHeight="1" x14ac:dyDescent="0.35">
      <c r="K757" s="37" t="str">
        <f t="shared" si="13"/>
        <v/>
      </c>
    </row>
    <row r="758" spans="11:11" ht="18" customHeight="1" x14ac:dyDescent="0.35">
      <c r="K758" s="37" t="str">
        <f t="shared" si="13"/>
        <v/>
      </c>
    </row>
    <row r="759" spans="11:11" ht="18" customHeight="1" x14ac:dyDescent="0.35">
      <c r="K759" s="37" t="str">
        <f t="shared" si="13"/>
        <v/>
      </c>
    </row>
    <row r="760" spans="11:11" ht="18" customHeight="1" x14ac:dyDescent="0.35">
      <c r="K760" s="37" t="str">
        <f t="shared" si="13"/>
        <v/>
      </c>
    </row>
    <row r="761" spans="11:11" ht="18" customHeight="1" x14ac:dyDescent="0.35">
      <c r="K761" s="37" t="str">
        <f t="shared" si="13"/>
        <v/>
      </c>
    </row>
    <row r="762" spans="11:11" ht="18" customHeight="1" x14ac:dyDescent="0.35">
      <c r="K762" s="37" t="str">
        <f t="shared" si="13"/>
        <v/>
      </c>
    </row>
    <row r="763" spans="11:11" ht="18" customHeight="1" x14ac:dyDescent="0.35">
      <c r="K763" s="37" t="str">
        <f t="shared" si="13"/>
        <v/>
      </c>
    </row>
    <row r="764" spans="11:11" ht="18" customHeight="1" x14ac:dyDescent="0.35">
      <c r="K764" s="37" t="str">
        <f t="shared" si="13"/>
        <v/>
      </c>
    </row>
    <row r="765" spans="11:11" ht="18" customHeight="1" x14ac:dyDescent="0.35">
      <c r="K765" s="37" t="str">
        <f t="shared" si="13"/>
        <v/>
      </c>
    </row>
    <row r="766" spans="11:11" ht="18" customHeight="1" x14ac:dyDescent="0.35">
      <c r="K766" s="37" t="str">
        <f t="shared" si="13"/>
        <v/>
      </c>
    </row>
    <row r="767" spans="11:11" ht="18" customHeight="1" x14ac:dyDescent="0.35">
      <c r="K767" s="37" t="str">
        <f t="shared" si="13"/>
        <v/>
      </c>
    </row>
    <row r="768" spans="11:11" ht="18" customHeight="1" x14ac:dyDescent="0.35">
      <c r="K768" s="37" t="str">
        <f t="shared" si="13"/>
        <v/>
      </c>
    </row>
    <row r="769" spans="11:11" ht="18" customHeight="1" x14ac:dyDescent="0.35">
      <c r="K769" s="37" t="str">
        <f t="shared" si="13"/>
        <v/>
      </c>
    </row>
    <row r="770" spans="11:11" ht="18" customHeight="1" x14ac:dyDescent="0.35">
      <c r="K770" s="37" t="str">
        <f t="shared" si="13"/>
        <v/>
      </c>
    </row>
    <row r="771" spans="11:11" ht="18" customHeight="1" x14ac:dyDescent="0.35">
      <c r="K771" s="37" t="str">
        <f t="shared" si="13"/>
        <v/>
      </c>
    </row>
    <row r="772" spans="11:11" ht="18" customHeight="1" x14ac:dyDescent="0.35">
      <c r="K772" s="37" t="str">
        <f t="shared" ref="K772:K835" si="14">IF(OR(E772="",H772="",J772=""),"",E772*H772*J772)</f>
        <v/>
      </c>
    </row>
    <row r="773" spans="11:11" ht="18" customHeight="1" x14ac:dyDescent="0.35">
      <c r="K773" s="37" t="str">
        <f t="shared" si="14"/>
        <v/>
      </c>
    </row>
    <row r="774" spans="11:11" ht="18" customHeight="1" x14ac:dyDescent="0.35">
      <c r="K774" s="37" t="str">
        <f t="shared" si="14"/>
        <v/>
      </c>
    </row>
    <row r="775" spans="11:11" ht="18" customHeight="1" x14ac:dyDescent="0.35">
      <c r="K775" s="37" t="str">
        <f t="shared" si="14"/>
        <v/>
      </c>
    </row>
    <row r="776" spans="11:11" ht="18" customHeight="1" x14ac:dyDescent="0.35">
      <c r="K776" s="37" t="str">
        <f t="shared" si="14"/>
        <v/>
      </c>
    </row>
    <row r="777" spans="11:11" ht="18" customHeight="1" x14ac:dyDescent="0.35">
      <c r="K777" s="37" t="str">
        <f t="shared" si="14"/>
        <v/>
      </c>
    </row>
    <row r="778" spans="11:11" ht="18" customHeight="1" x14ac:dyDescent="0.35">
      <c r="K778" s="37" t="str">
        <f t="shared" si="14"/>
        <v/>
      </c>
    </row>
    <row r="779" spans="11:11" ht="18" customHeight="1" x14ac:dyDescent="0.35">
      <c r="K779" s="37" t="str">
        <f t="shared" si="14"/>
        <v/>
      </c>
    </row>
    <row r="780" spans="11:11" ht="18" customHeight="1" x14ac:dyDescent="0.35">
      <c r="K780" s="37" t="str">
        <f t="shared" si="14"/>
        <v/>
      </c>
    </row>
    <row r="781" spans="11:11" ht="18" customHeight="1" x14ac:dyDescent="0.35">
      <c r="K781" s="37" t="str">
        <f t="shared" si="14"/>
        <v/>
      </c>
    </row>
    <row r="782" spans="11:11" ht="18" customHeight="1" x14ac:dyDescent="0.35">
      <c r="K782" s="37" t="str">
        <f t="shared" si="14"/>
        <v/>
      </c>
    </row>
    <row r="783" spans="11:11" ht="18" customHeight="1" x14ac:dyDescent="0.35">
      <c r="K783" s="37" t="str">
        <f t="shared" si="14"/>
        <v/>
      </c>
    </row>
    <row r="784" spans="11:11" ht="18" customHeight="1" x14ac:dyDescent="0.35">
      <c r="K784" s="37" t="str">
        <f t="shared" si="14"/>
        <v/>
      </c>
    </row>
    <row r="785" spans="11:11" ht="18" customHeight="1" x14ac:dyDescent="0.35">
      <c r="K785" s="37" t="str">
        <f t="shared" si="14"/>
        <v/>
      </c>
    </row>
    <row r="786" spans="11:11" ht="18" customHeight="1" x14ac:dyDescent="0.35">
      <c r="K786" s="37" t="str">
        <f t="shared" si="14"/>
        <v/>
      </c>
    </row>
    <row r="787" spans="11:11" ht="18" customHeight="1" x14ac:dyDescent="0.35">
      <c r="K787" s="37" t="str">
        <f t="shared" si="14"/>
        <v/>
      </c>
    </row>
    <row r="788" spans="11:11" ht="18" customHeight="1" x14ac:dyDescent="0.35">
      <c r="K788" s="37" t="str">
        <f t="shared" si="14"/>
        <v/>
      </c>
    </row>
    <row r="789" spans="11:11" ht="18" customHeight="1" x14ac:dyDescent="0.35">
      <c r="K789" s="37" t="str">
        <f t="shared" si="14"/>
        <v/>
      </c>
    </row>
    <row r="790" spans="11:11" ht="18" customHeight="1" x14ac:dyDescent="0.35">
      <c r="K790" s="37" t="str">
        <f t="shared" si="14"/>
        <v/>
      </c>
    </row>
    <row r="791" spans="11:11" ht="18" customHeight="1" x14ac:dyDescent="0.35">
      <c r="K791" s="37" t="str">
        <f t="shared" si="14"/>
        <v/>
      </c>
    </row>
    <row r="792" spans="11:11" ht="18" customHeight="1" x14ac:dyDescent="0.35">
      <c r="K792" s="37" t="str">
        <f t="shared" si="14"/>
        <v/>
      </c>
    </row>
    <row r="793" spans="11:11" ht="18" customHeight="1" x14ac:dyDescent="0.35">
      <c r="K793" s="37" t="str">
        <f t="shared" si="14"/>
        <v/>
      </c>
    </row>
    <row r="794" spans="11:11" ht="18" customHeight="1" x14ac:dyDescent="0.35">
      <c r="K794" s="37" t="str">
        <f t="shared" si="14"/>
        <v/>
      </c>
    </row>
    <row r="795" spans="11:11" ht="18" customHeight="1" x14ac:dyDescent="0.35">
      <c r="K795" s="37" t="str">
        <f t="shared" si="14"/>
        <v/>
      </c>
    </row>
    <row r="796" spans="11:11" ht="18" customHeight="1" x14ac:dyDescent="0.35">
      <c r="K796" s="37" t="str">
        <f t="shared" si="14"/>
        <v/>
      </c>
    </row>
    <row r="797" spans="11:11" ht="18" customHeight="1" x14ac:dyDescent="0.35">
      <c r="K797" s="37" t="str">
        <f t="shared" si="14"/>
        <v/>
      </c>
    </row>
    <row r="798" spans="11:11" ht="18" customHeight="1" x14ac:dyDescent="0.35">
      <c r="K798" s="37" t="str">
        <f t="shared" si="14"/>
        <v/>
      </c>
    </row>
    <row r="799" spans="11:11" ht="18" customHeight="1" x14ac:dyDescent="0.35">
      <c r="K799" s="37" t="str">
        <f t="shared" si="14"/>
        <v/>
      </c>
    </row>
    <row r="800" spans="11:11" ht="18" customHeight="1" x14ac:dyDescent="0.35">
      <c r="K800" s="37" t="str">
        <f t="shared" si="14"/>
        <v/>
      </c>
    </row>
    <row r="801" spans="11:11" ht="18" customHeight="1" x14ac:dyDescent="0.35">
      <c r="K801" s="37" t="str">
        <f t="shared" si="14"/>
        <v/>
      </c>
    </row>
    <row r="802" spans="11:11" ht="18" customHeight="1" x14ac:dyDescent="0.35">
      <c r="K802" s="37" t="str">
        <f t="shared" si="14"/>
        <v/>
      </c>
    </row>
    <row r="803" spans="11:11" ht="18" customHeight="1" x14ac:dyDescent="0.35">
      <c r="K803" s="37" t="str">
        <f t="shared" si="14"/>
        <v/>
      </c>
    </row>
    <row r="804" spans="11:11" ht="18" customHeight="1" x14ac:dyDescent="0.35">
      <c r="K804" s="37" t="str">
        <f t="shared" si="14"/>
        <v/>
      </c>
    </row>
    <row r="805" spans="11:11" ht="18" customHeight="1" x14ac:dyDescent="0.35">
      <c r="K805" s="37" t="str">
        <f t="shared" si="14"/>
        <v/>
      </c>
    </row>
    <row r="806" spans="11:11" ht="18" customHeight="1" x14ac:dyDescent="0.35">
      <c r="K806" s="37" t="str">
        <f t="shared" si="14"/>
        <v/>
      </c>
    </row>
    <row r="807" spans="11:11" ht="18" customHeight="1" x14ac:dyDescent="0.35">
      <c r="K807" s="37" t="str">
        <f t="shared" si="14"/>
        <v/>
      </c>
    </row>
    <row r="808" spans="11:11" ht="18" customHeight="1" x14ac:dyDescent="0.35">
      <c r="K808" s="37" t="str">
        <f t="shared" si="14"/>
        <v/>
      </c>
    </row>
    <row r="809" spans="11:11" ht="18" customHeight="1" x14ac:dyDescent="0.35">
      <c r="K809" s="37" t="str">
        <f t="shared" si="14"/>
        <v/>
      </c>
    </row>
    <row r="810" spans="11:11" ht="18" customHeight="1" x14ac:dyDescent="0.35">
      <c r="K810" s="37" t="str">
        <f t="shared" si="14"/>
        <v/>
      </c>
    </row>
    <row r="811" spans="11:11" ht="18" customHeight="1" x14ac:dyDescent="0.35">
      <c r="K811" s="37" t="str">
        <f t="shared" si="14"/>
        <v/>
      </c>
    </row>
    <row r="812" spans="11:11" ht="18" customHeight="1" x14ac:dyDescent="0.35">
      <c r="K812" s="37" t="str">
        <f t="shared" si="14"/>
        <v/>
      </c>
    </row>
    <row r="813" spans="11:11" ht="18" customHeight="1" x14ac:dyDescent="0.35">
      <c r="K813" s="37" t="str">
        <f t="shared" si="14"/>
        <v/>
      </c>
    </row>
    <row r="814" spans="11:11" ht="18" customHeight="1" x14ac:dyDescent="0.35">
      <c r="K814" s="37" t="str">
        <f t="shared" si="14"/>
        <v/>
      </c>
    </row>
    <row r="815" spans="11:11" ht="18" customHeight="1" x14ac:dyDescent="0.35">
      <c r="K815" s="37" t="str">
        <f t="shared" si="14"/>
        <v/>
      </c>
    </row>
    <row r="816" spans="11:11" ht="18" customHeight="1" x14ac:dyDescent="0.35">
      <c r="K816" s="37" t="str">
        <f t="shared" si="14"/>
        <v/>
      </c>
    </row>
    <row r="817" spans="11:11" ht="18" customHeight="1" x14ac:dyDescent="0.35">
      <c r="K817" s="37" t="str">
        <f t="shared" si="14"/>
        <v/>
      </c>
    </row>
    <row r="818" spans="11:11" ht="18" customHeight="1" x14ac:dyDescent="0.35">
      <c r="K818" s="37" t="str">
        <f t="shared" si="14"/>
        <v/>
      </c>
    </row>
    <row r="819" spans="11:11" ht="18" customHeight="1" x14ac:dyDescent="0.35">
      <c r="K819" s="37" t="str">
        <f t="shared" si="14"/>
        <v/>
      </c>
    </row>
    <row r="820" spans="11:11" ht="18" customHeight="1" x14ac:dyDescent="0.35">
      <c r="K820" s="37" t="str">
        <f t="shared" si="14"/>
        <v/>
      </c>
    </row>
    <row r="821" spans="11:11" ht="18" customHeight="1" x14ac:dyDescent="0.35">
      <c r="K821" s="37" t="str">
        <f t="shared" si="14"/>
        <v/>
      </c>
    </row>
    <row r="822" spans="11:11" ht="18" customHeight="1" x14ac:dyDescent="0.35">
      <c r="K822" s="37" t="str">
        <f t="shared" si="14"/>
        <v/>
      </c>
    </row>
    <row r="823" spans="11:11" ht="18" customHeight="1" x14ac:dyDescent="0.35">
      <c r="K823" s="37" t="str">
        <f t="shared" si="14"/>
        <v/>
      </c>
    </row>
    <row r="824" spans="11:11" ht="18" customHeight="1" x14ac:dyDescent="0.35">
      <c r="K824" s="37" t="str">
        <f t="shared" si="14"/>
        <v/>
      </c>
    </row>
    <row r="825" spans="11:11" ht="18" customHeight="1" x14ac:dyDescent="0.35">
      <c r="K825" s="37" t="str">
        <f t="shared" si="14"/>
        <v/>
      </c>
    </row>
    <row r="826" spans="11:11" ht="18" customHeight="1" x14ac:dyDescent="0.35">
      <c r="K826" s="37" t="str">
        <f t="shared" si="14"/>
        <v/>
      </c>
    </row>
    <row r="827" spans="11:11" ht="18" customHeight="1" x14ac:dyDescent="0.35">
      <c r="K827" s="37" t="str">
        <f t="shared" si="14"/>
        <v/>
      </c>
    </row>
    <row r="828" spans="11:11" ht="18" customHeight="1" x14ac:dyDescent="0.35">
      <c r="K828" s="37" t="str">
        <f t="shared" si="14"/>
        <v/>
      </c>
    </row>
    <row r="829" spans="11:11" ht="18" customHeight="1" x14ac:dyDescent="0.35">
      <c r="K829" s="37" t="str">
        <f t="shared" si="14"/>
        <v/>
      </c>
    </row>
    <row r="830" spans="11:11" ht="18" customHeight="1" x14ac:dyDescent="0.35">
      <c r="K830" s="37" t="str">
        <f t="shared" si="14"/>
        <v/>
      </c>
    </row>
    <row r="831" spans="11:11" ht="18" customHeight="1" x14ac:dyDescent="0.35">
      <c r="K831" s="37" t="str">
        <f t="shared" si="14"/>
        <v/>
      </c>
    </row>
    <row r="832" spans="11:11" ht="18" customHeight="1" x14ac:dyDescent="0.35">
      <c r="K832" s="37" t="str">
        <f t="shared" si="14"/>
        <v/>
      </c>
    </row>
    <row r="833" spans="11:11" ht="18" customHeight="1" x14ac:dyDescent="0.35">
      <c r="K833" s="37" t="str">
        <f t="shared" si="14"/>
        <v/>
      </c>
    </row>
    <row r="834" spans="11:11" ht="18" customHeight="1" x14ac:dyDescent="0.35">
      <c r="K834" s="37" t="str">
        <f t="shared" si="14"/>
        <v/>
      </c>
    </row>
    <row r="835" spans="11:11" ht="18" customHeight="1" x14ac:dyDescent="0.35">
      <c r="K835" s="37" t="str">
        <f t="shared" si="14"/>
        <v/>
      </c>
    </row>
    <row r="836" spans="11:11" ht="18" customHeight="1" x14ac:dyDescent="0.35">
      <c r="K836" s="37" t="str">
        <f t="shared" ref="K836:K899" si="15">IF(OR(E836="",H836="",J836=""),"",E836*H836*J836)</f>
        <v/>
      </c>
    </row>
    <row r="837" spans="11:11" ht="18" customHeight="1" x14ac:dyDescent="0.35">
      <c r="K837" s="37" t="str">
        <f t="shared" si="15"/>
        <v/>
      </c>
    </row>
    <row r="838" spans="11:11" ht="18" customHeight="1" x14ac:dyDescent="0.35">
      <c r="K838" s="37" t="str">
        <f t="shared" si="15"/>
        <v/>
      </c>
    </row>
    <row r="839" spans="11:11" ht="18" customHeight="1" x14ac:dyDescent="0.35">
      <c r="K839" s="37" t="str">
        <f t="shared" si="15"/>
        <v/>
      </c>
    </row>
    <row r="840" spans="11:11" ht="18" customHeight="1" x14ac:dyDescent="0.35">
      <c r="K840" s="37" t="str">
        <f t="shared" si="15"/>
        <v/>
      </c>
    </row>
    <row r="841" spans="11:11" ht="18" customHeight="1" x14ac:dyDescent="0.35">
      <c r="K841" s="37" t="str">
        <f t="shared" si="15"/>
        <v/>
      </c>
    </row>
    <row r="842" spans="11:11" ht="18" customHeight="1" x14ac:dyDescent="0.35">
      <c r="K842" s="37" t="str">
        <f t="shared" si="15"/>
        <v/>
      </c>
    </row>
    <row r="843" spans="11:11" ht="18" customHeight="1" x14ac:dyDescent="0.35">
      <c r="K843" s="37" t="str">
        <f t="shared" si="15"/>
        <v/>
      </c>
    </row>
    <row r="844" spans="11:11" ht="18" customHeight="1" x14ac:dyDescent="0.35">
      <c r="K844" s="37" t="str">
        <f t="shared" si="15"/>
        <v/>
      </c>
    </row>
    <row r="845" spans="11:11" ht="18" customHeight="1" x14ac:dyDescent="0.35">
      <c r="K845" s="37" t="str">
        <f t="shared" si="15"/>
        <v/>
      </c>
    </row>
    <row r="846" spans="11:11" ht="18" customHeight="1" x14ac:dyDescent="0.35">
      <c r="K846" s="37" t="str">
        <f t="shared" si="15"/>
        <v/>
      </c>
    </row>
    <row r="847" spans="11:11" ht="18" customHeight="1" x14ac:dyDescent="0.35">
      <c r="K847" s="37" t="str">
        <f t="shared" si="15"/>
        <v/>
      </c>
    </row>
    <row r="848" spans="11:11" ht="18" customHeight="1" x14ac:dyDescent="0.35">
      <c r="K848" s="37" t="str">
        <f t="shared" si="15"/>
        <v/>
      </c>
    </row>
    <row r="849" spans="11:11" ht="18" customHeight="1" x14ac:dyDescent="0.35">
      <c r="K849" s="37" t="str">
        <f t="shared" si="15"/>
        <v/>
      </c>
    </row>
    <row r="850" spans="11:11" ht="18" customHeight="1" x14ac:dyDescent="0.35">
      <c r="K850" s="37" t="str">
        <f t="shared" si="15"/>
        <v/>
      </c>
    </row>
    <row r="851" spans="11:11" ht="18" customHeight="1" x14ac:dyDescent="0.35">
      <c r="K851" s="37" t="str">
        <f t="shared" si="15"/>
        <v/>
      </c>
    </row>
    <row r="852" spans="11:11" ht="18" customHeight="1" x14ac:dyDescent="0.35">
      <c r="K852" s="37" t="str">
        <f t="shared" si="15"/>
        <v/>
      </c>
    </row>
    <row r="853" spans="11:11" ht="18" customHeight="1" x14ac:dyDescent="0.35">
      <c r="K853" s="37" t="str">
        <f t="shared" si="15"/>
        <v/>
      </c>
    </row>
    <row r="854" spans="11:11" ht="18" customHeight="1" x14ac:dyDescent="0.35">
      <c r="K854" s="37" t="str">
        <f t="shared" si="15"/>
        <v/>
      </c>
    </row>
    <row r="855" spans="11:11" ht="18" customHeight="1" x14ac:dyDescent="0.35">
      <c r="K855" s="37" t="str">
        <f t="shared" si="15"/>
        <v/>
      </c>
    </row>
    <row r="856" spans="11:11" ht="18" customHeight="1" x14ac:dyDescent="0.35">
      <c r="K856" s="37" t="str">
        <f t="shared" si="15"/>
        <v/>
      </c>
    </row>
    <row r="857" spans="11:11" ht="18" customHeight="1" x14ac:dyDescent="0.35">
      <c r="K857" s="37" t="str">
        <f t="shared" si="15"/>
        <v/>
      </c>
    </row>
    <row r="858" spans="11:11" ht="18" customHeight="1" x14ac:dyDescent="0.35">
      <c r="K858" s="37" t="str">
        <f t="shared" si="15"/>
        <v/>
      </c>
    </row>
    <row r="859" spans="11:11" ht="18" customHeight="1" x14ac:dyDescent="0.35">
      <c r="K859" s="37" t="str">
        <f t="shared" si="15"/>
        <v/>
      </c>
    </row>
    <row r="860" spans="11:11" ht="18" customHeight="1" x14ac:dyDescent="0.35">
      <c r="K860" s="37" t="str">
        <f t="shared" si="15"/>
        <v/>
      </c>
    </row>
    <row r="861" spans="11:11" ht="18" customHeight="1" x14ac:dyDescent="0.35">
      <c r="K861" s="37" t="str">
        <f t="shared" si="15"/>
        <v/>
      </c>
    </row>
    <row r="862" spans="11:11" ht="18" customHeight="1" x14ac:dyDescent="0.35">
      <c r="K862" s="37" t="str">
        <f t="shared" si="15"/>
        <v/>
      </c>
    </row>
    <row r="863" spans="11:11" ht="18" customHeight="1" x14ac:dyDescent="0.35">
      <c r="K863" s="37" t="str">
        <f t="shared" si="15"/>
        <v/>
      </c>
    </row>
    <row r="864" spans="11:11" ht="18" customHeight="1" x14ac:dyDescent="0.35">
      <c r="K864" s="37" t="str">
        <f t="shared" si="15"/>
        <v/>
      </c>
    </row>
    <row r="865" spans="11:11" ht="18" customHeight="1" x14ac:dyDescent="0.35">
      <c r="K865" s="37" t="str">
        <f t="shared" si="15"/>
        <v/>
      </c>
    </row>
    <row r="866" spans="11:11" ht="18" customHeight="1" x14ac:dyDescent="0.35">
      <c r="K866" s="37" t="str">
        <f t="shared" si="15"/>
        <v/>
      </c>
    </row>
    <row r="867" spans="11:11" ht="18" customHeight="1" x14ac:dyDescent="0.35">
      <c r="K867" s="37" t="str">
        <f t="shared" si="15"/>
        <v/>
      </c>
    </row>
    <row r="868" spans="11:11" ht="18" customHeight="1" x14ac:dyDescent="0.35">
      <c r="K868" s="37" t="str">
        <f t="shared" si="15"/>
        <v/>
      </c>
    </row>
    <row r="869" spans="11:11" ht="18" customHeight="1" x14ac:dyDescent="0.35">
      <c r="K869" s="37" t="str">
        <f t="shared" si="15"/>
        <v/>
      </c>
    </row>
    <row r="870" spans="11:11" ht="18" customHeight="1" x14ac:dyDescent="0.35">
      <c r="K870" s="37" t="str">
        <f t="shared" si="15"/>
        <v/>
      </c>
    </row>
    <row r="871" spans="11:11" ht="18" customHeight="1" x14ac:dyDescent="0.35">
      <c r="K871" s="37" t="str">
        <f t="shared" si="15"/>
        <v/>
      </c>
    </row>
    <row r="872" spans="11:11" ht="18" customHeight="1" x14ac:dyDescent="0.35">
      <c r="K872" s="37" t="str">
        <f t="shared" si="15"/>
        <v/>
      </c>
    </row>
    <row r="873" spans="11:11" ht="18" customHeight="1" x14ac:dyDescent="0.35">
      <c r="K873" s="37" t="str">
        <f t="shared" si="15"/>
        <v/>
      </c>
    </row>
    <row r="874" spans="11:11" ht="18" customHeight="1" x14ac:dyDescent="0.35">
      <c r="K874" s="37" t="str">
        <f t="shared" si="15"/>
        <v/>
      </c>
    </row>
    <row r="875" spans="11:11" ht="18" customHeight="1" x14ac:dyDescent="0.35">
      <c r="K875" s="37" t="str">
        <f t="shared" si="15"/>
        <v/>
      </c>
    </row>
    <row r="876" spans="11:11" ht="18" customHeight="1" x14ac:dyDescent="0.35">
      <c r="K876" s="37" t="str">
        <f t="shared" si="15"/>
        <v/>
      </c>
    </row>
    <row r="877" spans="11:11" ht="18" customHeight="1" x14ac:dyDescent="0.35">
      <c r="K877" s="37" t="str">
        <f t="shared" si="15"/>
        <v/>
      </c>
    </row>
    <row r="878" spans="11:11" ht="18" customHeight="1" x14ac:dyDescent="0.35">
      <c r="K878" s="37" t="str">
        <f t="shared" si="15"/>
        <v/>
      </c>
    </row>
    <row r="879" spans="11:11" ht="18" customHeight="1" x14ac:dyDescent="0.35">
      <c r="K879" s="37" t="str">
        <f t="shared" si="15"/>
        <v/>
      </c>
    </row>
    <row r="880" spans="11:11" ht="18" customHeight="1" x14ac:dyDescent="0.35">
      <c r="K880" s="37" t="str">
        <f t="shared" si="15"/>
        <v/>
      </c>
    </row>
    <row r="881" spans="11:11" ht="18" customHeight="1" x14ac:dyDescent="0.35">
      <c r="K881" s="37" t="str">
        <f t="shared" si="15"/>
        <v/>
      </c>
    </row>
    <row r="882" spans="11:11" ht="18" customHeight="1" x14ac:dyDescent="0.35">
      <c r="K882" s="37" t="str">
        <f t="shared" si="15"/>
        <v/>
      </c>
    </row>
    <row r="883" spans="11:11" ht="18" customHeight="1" x14ac:dyDescent="0.35">
      <c r="K883" s="37" t="str">
        <f t="shared" si="15"/>
        <v/>
      </c>
    </row>
    <row r="884" spans="11:11" ht="18" customHeight="1" x14ac:dyDescent="0.35">
      <c r="K884" s="37" t="str">
        <f t="shared" si="15"/>
        <v/>
      </c>
    </row>
    <row r="885" spans="11:11" ht="18" customHeight="1" x14ac:dyDescent="0.35">
      <c r="K885" s="37" t="str">
        <f t="shared" si="15"/>
        <v/>
      </c>
    </row>
    <row r="886" spans="11:11" ht="18" customHeight="1" x14ac:dyDescent="0.35">
      <c r="K886" s="37" t="str">
        <f t="shared" si="15"/>
        <v/>
      </c>
    </row>
    <row r="887" spans="11:11" ht="18" customHeight="1" x14ac:dyDescent="0.35">
      <c r="K887" s="37" t="str">
        <f t="shared" si="15"/>
        <v/>
      </c>
    </row>
    <row r="888" spans="11:11" ht="18" customHeight="1" x14ac:dyDescent="0.35">
      <c r="K888" s="37" t="str">
        <f t="shared" si="15"/>
        <v/>
      </c>
    </row>
    <row r="889" spans="11:11" ht="18" customHeight="1" x14ac:dyDescent="0.35">
      <c r="K889" s="37" t="str">
        <f t="shared" si="15"/>
        <v/>
      </c>
    </row>
    <row r="890" spans="11:11" ht="18" customHeight="1" x14ac:dyDescent="0.35">
      <c r="K890" s="37" t="str">
        <f t="shared" si="15"/>
        <v/>
      </c>
    </row>
    <row r="891" spans="11:11" ht="18" customHeight="1" x14ac:dyDescent="0.35">
      <c r="K891" s="37" t="str">
        <f t="shared" si="15"/>
        <v/>
      </c>
    </row>
    <row r="892" spans="11:11" ht="18" customHeight="1" x14ac:dyDescent="0.35">
      <c r="K892" s="37" t="str">
        <f t="shared" si="15"/>
        <v/>
      </c>
    </row>
    <row r="893" spans="11:11" ht="18" customHeight="1" x14ac:dyDescent="0.35">
      <c r="K893" s="37" t="str">
        <f t="shared" si="15"/>
        <v/>
      </c>
    </row>
    <row r="894" spans="11:11" ht="18" customHeight="1" x14ac:dyDescent="0.35">
      <c r="K894" s="37" t="str">
        <f t="shared" si="15"/>
        <v/>
      </c>
    </row>
    <row r="895" spans="11:11" ht="18" customHeight="1" x14ac:dyDescent="0.35">
      <c r="K895" s="37" t="str">
        <f t="shared" si="15"/>
        <v/>
      </c>
    </row>
    <row r="896" spans="11:11" ht="18" customHeight="1" x14ac:dyDescent="0.35">
      <c r="K896" s="37" t="str">
        <f t="shared" si="15"/>
        <v/>
      </c>
    </row>
    <row r="897" spans="11:11" ht="18" customHeight="1" x14ac:dyDescent="0.35">
      <c r="K897" s="37" t="str">
        <f t="shared" si="15"/>
        <v/>
      </c>
    </row>
    <row r="898" spans="11:11" ht="18" customHeight="1" x14ac:dyDescent="0.35">
      <c r="K898" s="37" t="str">
        <f t="shared" si="15"/>
        <v/>
      </c>
    </row>
    <row r="899" spans="11:11" ht="18" customHeight="1" x14ac:dyDescent="0.35">
      <c r="K899" s="37" t="str">
        <f t="shared" si="15"/>
        <v/>
      </c>
    </row>
    <row r="900" spans="11:11" ht="18" customHeight="1" x14ac:dyDescent="0.35">
      <c r="K900" s="37" t="str">
        <f t="shared" ref="K900:K963" si="16">IF(OR(E900="",H900="",J900=""),"",E900*H900*J900)</f>
        <v/>
      </c>
    </row>
    <row r="901" spans="11:11" ht="18" customHeight="1" x14ac:dyDescent="0.35">
      <c r="K901" s="37" t="str">
        <f t="shared" si="16"/>
        <v/>
      </c>
    </row>
    <row r="902" spans="11:11" ht="18" customHeight="1" x14ac:dyDescent="0.35">
      <c r="K902" s="37" t="str">
        <f t="shared" si="16"/>
        <v/>
      </c>
    </row>
    <row r="903" spans="11:11" ht="18" customHeight="1" x14ac:dyDescent="0.35">
      <c r="K903" s="37" t="str">
        <f t="shared" si="16"/>
        <v/>
      </c>
    </row>
    <row r="904" spans="11:11" ht="18" customHeight="1" x14ac:dyDescent="0.35">
      <c r="K904" s="37" t="str">
        <f t="shared" si="16"/>
        <v/>
      </c>
    </row>
    <row r="905" spans="11:11" ht="18" customHeight="1" x14ac:dyDescent="0.35">
      <c r="K905" s="37" t="str">
        <f t="shared" si="16"/>
        <v/>
      </c>
    </row>
    <row r="906" spans="11:11" ht="18" customHeight="1" x14ac:dyDescent="0.35">
      <c r="K906" s="37" t="str">
        <f t="shared" si="16"/>
        <v/>
      </c>
    </row>
    <row r="907" spans="11:11" ht="18" customHeight="1" x14ac:dyDescent="0.35">
      <c r="K907" s="37" t="str">
        <f t="shared" si="16"/>
        <v/>
      </c>
    </row>
    <row r="908" spans="11:11" ht="18" customHeight="1" x14ac:dyDescent="0.35">
      <c r="K908" s="37" t="str">
        <f t="shared" si="16"/>
        <v/>
      </c>
    </row>
    <row r="909" spans="11:11" ht="18" customHeight="1" x14ac:dyDescent="0.35">
      <c r="K909" s="37" t="str">
        <f t="shared" si="16"/>
        <v/>
      </c>
    </row>
    <row r="910" spans="11:11" ht="18" customHeight="1" x14ac:dyDescent="0.35">
      <c r="K910" s="37" t="str">
        <f t="shared" si="16"/>
        <v/>
      </c>
    </row>
    <row r="911" spans="11:11" ht="18" customHeight="1" x14ac:dyDescent="0.35">
      <c r="K911" s="37" t="str">
        <f t="shared" si="16"/>
        <v/>
      </c>
    </row>
    <row r="912" spans="11:11" ht="18" customHeight="1" x14ac:dyDescent="0.35">
      <c r="K912" s="37" t="str">
        <f t="shared" si="16"/>
        <v/>
      </c>
    </row>
    <row r="913" spans="11:11" ht="18" customHeight="1" x14ac:dyDescent="0.35">
      <c r="K913" s="37" t="str">
        <f t="shared" si="16"/>
        <v/>
      </c>
    </row>
    <row r="914" spans="11:11" ht="18" customHeight="1" x14ac:dyDescent="0.35">
      <c r="K914" s="37" t="str">
        <f t="shared" si="16"/>
        <v/>
      </c>
    </row>
    <row r="915" spans="11:11" ht="18" customHeight="1" x14ac:dyDescent="0.35">
      <c r="K915" s="37" t="str">
        <f t="shared" si="16"/>
        <v/>
      </c>
    </row>
    <row r="916" spans="11:11" ht="18" customHeight="1" x14ac:dyDescent="0.35">
      <c r="K916" s="37" t="str">
        <f t="shared" si="16"/>
        <v/>
      </c>
    </row>
    <row r="917" spans="11:11" ht="18" customHeight="1" x14ac:dyDescent="0.35">
      <c r="K917" s="37" t="str">
        <f t="shared" si="16"/>
        <v/>
      </c>
    </row>
    <row r="918" spans="11:11" ht="18" customHeight="1" x14ac:dyDescent="0.35">
      <c r="K918" s="37" t="str">
        <f t="shared" si="16"/>
        <v/>
      </c>
    </row>
    <row r="919" spans="11:11" ht="18" customHeight="1" x14ac:dyDescent="0.35">
      <c r="K919" s="37" t="str">
        <f t="shared" si="16"/>
        <v/>
      </c>
    </row>
    <row r="920" spans="11:11" ht="18" customHeight="1" x14ac:dyDescent="0.35">
      <c r="K920" s="37" t="str">
        <f t="shared" si="16"/>
        <v/>
      </c>
    </row>
    <row r="921" spans="11:11" ht="18" customHeight="1" x14ac:dyDescent="0.35">
      <c r="K921" s="37" t="str">
        <f t="shared" si="16"/>
        <v/>
      </c>
    </row>
    <row r="922" spans="11:11" ht="18" customHeight="1" x14ac:dyDescent="0.35">
      <c r="K922" s="37" t="str">
        <f t="shared" si="16"/>
        <v/>
      </c>
    </row>
    <row r="923" spans="11:11" ht="18" customHeight="1" x14ac:dyDescent="0.35">
      <c r="K923" s="37" t="str">
        <f t="shared" si="16"/>
        <v/>
      </c>
    </row>
    <row r="924" spans="11:11" ht="18" customHeight="1" x14ac:dyDescent="0.35">
      <c r="K924" s="37" t="str">
        <f t="shared" si="16"/>
        <v/>
      </c>
    </row>
    <row r="925" spans="11:11" ht="18" customHeight="1" x14ac:dyDescent="0.35">
      <c r="K925" s="37" t="str">
        <f t="shared" si="16"/>
        <v/>
      </c>
    </row>
    <row r="926" spans="11:11" ht="18" customHeight="1" x14ac:dyDescent="0.35">
      <c r="K926" s="37" t="str">
        <f t="shared" si="16"/>
        <v/>
      </c>
    </row>
    <row r="927" spans="11:11" ht="18" customHeight="1" x14ac:dyDescent="0.35">
      <c r="K927" s="37" t="str">
        <f t="shared" si="16"/>
        <v/>
      </c>
    </row>
    <row r="928" spans="11:11" ht="18" customHeight="1" x14ac:dyDescent="0.35">
      <c r="K928" s="37" t="str">
        <f t="shared" si="16"/>
        <v/>
      </c>
    </row>
    <row r="929" spans="11:11" ht="18" customHeight="1" x14ac:dyDescent="0.35">
      <c r="K929" s="37" t="str">
        <f t="shared" si="16"/>
        <v/>
      </c>
    </row>
    <row r="930" spans="11:11" ht="18" customHeight="1" x14ac:dyDescent="0.35">
      <c r="K930" s="37" t="str">
        <f t="shared" si="16"/>
        <v/>
      </c>
    </row>
    <row r="931" spans="11:11" ht="18" customHeight="1" x14ac:dyDescent="0.35">
      <c r="K931" s="37" t="str">
        <f t="shared" si="16"/>
        <v/>
      </c>
    </row>
    <row r="932" spans="11:11" ht="18" customHeight="1" x14ac:dyDescent="0.35">
      <c r="K932" s="37" t="str">
        <f t="shared" si="16"/>
        <v/>
      </c>
    </row>
    <row r="933" spans="11:11" ht="18" customHeight="1" x14ac:dyDescent="0.35">
      <c r="K933" s="37" t="str">
        <f t="shared" si="16"/>
        <v/>
      </c>
    </row>
    <row r="934" spans="11:11" ht="18" customHeight="1" x14ac:dyDescent="0.35">
      <c r="K934" s="37" t="str">
        <f t="shared" si="16"/>
        <v/>
      </c>
    </row>
    <row r="935" spans="11:11" ht="18" customHeight="1" x14ac:dyDescent="0.35">
      <c r="K935" s="37" t="str">
        <f t="shared" si="16"/>
        <v/>
      </c>
    </row>
    <row r="936" spans="11:11" ht="18" customHeight="1" x14ac:dyDescent="0.35">
      <c r="K936" s="37" t="str">
        <f t="shared" si="16"/>
        <v/>
      </c>
    </row>
    <row r="937" spans="11:11" ht="18" customHeight="1" x14ac:dyDescent="0.35">
      <c r="K937" s="37" t="str">
        <f t="shared" si="16"/>
        <v/>
      </c>
    </row>
    <row r="938" spans="11:11" ht="18" customHeight="1" x14ac:dyDescent="0.35">
      <c r="K938" s="37" t="str">
        <f t="shared" si="16"/>
        <v/>
      </c>
    </row>
    <row r="939" spans="11:11" ht="18" customHeight="1" x14ac:dyDescent="0.35">
      <c r="K939" s="37" t="str">
        <f t="shared" si="16"/>
        <v/>
      </c>
    </row>
    <row r="940" spans="11:11" ht="18" customHeight="1" x14ac:dyDescent="0.35">
      <c r="K940" s="37" t="str">
        <f t="shared" si="16"/>
        <v/>
      </c>
    </row>
    <row r="941" spans="11:11" ht="18" customHeight="1" x14ac:dyDescent="0.35">
      <c r="K941" s="37" t="str">
        <f t="shared" si="16"/>
        <v/>
      </c>
    </row>
    <row r="942" spans="11:11" ht="18" customHeight="1" x14ac:dyDescent="0.35">
      <c r="K942" s="37" t="str">
        <f t="shared" si="16"/>
        <v/>
      </c>
    </row>
    <row r="943" spans="11:11" ht="18" customHeight="1" x14ac:dyDescent="0.35">
      <c r="K943" s="37" t="str">
        <f t="shared" si="16"/>
        <v/>
      </c>
    </row>
    <row r="944" spans="11:11" ht="18" customHeight="1" x14ac:dyDescent="0.35">
      <c r="K944" s="37" t="str">
        <f t="shared" si="16"/>
        <v/>
      </c>
    </row>
    <row r="945" spans="11:11" ht="18" customHeight="1" x14ac:dyDescent="0.35">
      <c r="K945" s="37" t="str">
        <f t="shared" si="16"/>
        <v/>
      </c>
    </row>
    <row r="946" spans="11:11" ht="18" customHeight="1" x14ac:dyDescent="0.35">
      <c r="K946" s="37" t="str">
        <f t="shared" si="16"/>
        <v/>
      </c>
    </row>
    <row r="947" spans="11:11" ht="18" customHeight="1" x14ac:dyDescent="0.35">
      <c r="K947" s="37" t="str">
        <f t="shared" si="16"/>
        <v/>
      </c>
    </row>
    <row r="948" spans="11:11" ht="18" customHeight="1" x14ac:dyDescent="0.35">
      <c r="K948" s="37" t="str">
        <f t="shared" si="16"/>
        <v/>
      </c>
    </row>
    <row r="949" spans="11:11" ht="18" customHeight="1" x14ac:dyDescent="0.35">
      <c r="K949" s="37" t="str">
        <f t="shared" si="16"/>
        <v/>
      </c>
    </row>
    <row r="950" spans="11:11" ht="18" customHeight="1" x14ac:dyDescent="0.35">
      <c r="K950" s="37" t="str">
        <f t="shared" si="16"/>
        <v/>
      </c>
    </row>
    <row r="951" spans="11:11" ht="18" customHeight="1" x14ac:dyDescent="0.35">
      <c r="K951" s="37" t="str">
        <f t="shared" si="16"/>
        <v/>
      </c>
    </row>
    <row r="952" spans="11:11" ht="18" customHeight="1" x14ac:dyDescent="0.35">
      <c r="K952" s="37" t="str">
        <f t="shared" si="16"/>
        <v/>
      </c>
    </row>
    <row r="953" spans="11:11" ht="18" customHeight="1" x14ac:dyDescent="0.35">
      <c r="K953" s="37" t="str">
        <f t="shared" si="16"/>
        <v/>
      </c>
    </row>
    <row r="954" spans="11:11" ht="18" customHeight="1" x14ac:dyDescent="0.35">
      <c r="K954" s="37" t="str">
        <f t="shared" si="16"/>
        <v/>
      </c>
    </row>
    <row r="955" spans="11:11" ht="18" customHeight="1" x14ac:dyDescent="0.35">
      <c r="K955" s="37" t="str">
        <f t="shared" si="16"/>
        <v/>
      </c>
    </row>
    <row r="956" spans="11:11" ht="18" customHeight="1" x14ac:dyDescent="0.35">
      <c r="K956" s="37" t="str">
        <f t="shared" si="16"/>
        <v/>
      </c>
    </row>
    <row r="957" spans="11:11" ht="18" customHeight="1" x14ac:dyDescent="0.35">
      <c r="K957" s="37" t="str">
        <f t="shared" si="16"/>
        <v/>
      </c>
    </row>
    <row r="958" spans="11:11" ht="18" customHeight="1" x14ac:dyDescent="0.35">
      <c r="K958" s="37" t="str">
        <f t="shared" si="16"/>
        <v/>
      </c>
    </row>
    <row r="959" spans="11:11" ht="18" customHeight="1" x14ac:dyDescent="0.35">
      <c r="K959" s="37" t="str">
        <f t="shared" si="16"/>
        <v/>
      </c>
    </row>
    <row r="960" spans="11:11" ht="18" customHeight="1" x14ac:dyDescent="0.35">
      <c r="K960" s="37" t="str">
        <f t="shared" si="16"/>
        <v/>
      </c>
    </row>
    <row r="961" spans="11:11" ht="18" customHeight="1" x14ac:dyDescent="0.35">
      <c r="K961" s="37" t="str">
        <f t="shared" si="16"/>
        <v/>
      </c>
    </row>
    <row r="962" spans="11:11" ht="18" customHeight="1" x14ac:dyDescent="0.35">
      <c r="K962" s="37" t="str">
        <f t="shared" si="16"/>
        <v/>
      </c>
    </row>
    <row r="963" spans="11:11" ht="18" customHeight="1" x14ac:dyDescent="0.35">
      <c r="K963" s="37" t="str">
        <f t="shared" si="16"/>
        <v/>
      </c>
    </row>
    <row r="964" spans="11:11" ht="18" customHeight="1" x14ac:dyDescent="0.35">
      <c r="K964" s="37" t="str">
        <f t="shared" ref="K964:K1000" si="17">IF(OR(E964="",H964="",J964=""),"",E964*H964*J964)</f>
        <v/>
      </c>
    </row>
    <row r="965" spans="11:11" ht="18" customHeight="1" x14ac:dyDescent="0.35">
      <c r="K965" s="37" t="str">
        <f t="shared" si="17"/>
        <v/>
      </c>
    </row>
    <row r="966" spans="11:11" ht="18" customHeight="1" x14ac:dyDescent="0.35">
      <c r="K966" s="37" t="str">
        <f t="shared" si="17"/>
        <v/>
      </c>
    </row>
    <row r="967" spans="11:11" ht="18" customHeight="1" x14ac:dyDescent="0.35">
      <c r="K967" s="37" t="str">
        <f t="shared" si="17"/>
        <v/>
      </c>
    </row>
    <row r="968" spans="11:11" ht="18" customHeight="1" x14ac:dyDescent="0.35">
      <c r="K968" s="37" t="str">
        <f t="shared" si="17"/>
        <v/>
      </c>
    </row>
    <row r="969" spans="11:11" ht="18" customHeight="1" x14ac:dyDescent="0.35">
      <c r="K969" s="37" t="str">
        <f t="shared" si="17"/>
        <v/>
      </c>
    </row>
    <row r="970" spans="11:11" ht="18" customHeight="1" x14ac:dyDescent="0.35">
      <c r="K970" s="37" t="str">
        <f t="shared" si="17"/>
        <v/>
      </c>
    </row>
    <row r="971" spans="11:11" ht="18" customHeight="1" x14ac:dyDescent="0.35">
      <c r="K971" s="37" t="str">
        <f t="shared" si="17"/>
        <v/>
      </c>
    </row>
    <row r="972" spans="11:11" ht="18" customHeight="1" x14ac:dyDescent="0.35">
      <c r="K972" s="37" t="str">
        <f t="shared" si="17"/>
        <v/>
      </c>
    </row>
    <row r="973" spans="11:11" ht="18" customHeight="1" x14ac:dyDescent="0.35">
      <c r="K973" s="37" t="str">
        <f t="shared" si="17"/>
        <v/>
      </c>
    </row>
    <row r="974" spans="11:11" ht="18" customHeight="1" x14ac:dyDescent="0.35">
      <c r="K974" s="37" t="str">
        <f t="shared" si="17"/>
        <v/>
      </c>
    </row>
    <row r="975" spans="11:11" ht="18" customHeight="1" x14ac:dyDescent="0.35">
      <c r="K975" s="37" t="str">
        <f t="shared" si="17"/>
        <v/>
      </c>
    </row>
    <row r="976" spans="11:11" ht="18" customHeight="1" x14ac:dyDescent="0.35">
      <c r="K976" s="37" t="str">
        <f t="shared" si="17"/>
        <v/>
      </c>
    </row>
    <row r="977" spans="11:11" ht="18" customHeight="1" x14ac:dyDescent="0.35">
      <c r="K977" s="37" t="str">
        <f t="shared" si="17"/>
        <v/>
      </c>
    </row>
    <row r="978" spans="11:11" ht="18" customHeight="1" x14ac:dyDescent="0.35">
      <c r="K978" s="37" t="str">
        <f t="shared" si="17"/>
        <v/>
      </c>
    </row>
    <row r="979" spans="11:11" ht="18" customHeight="1" x14ac:dyDescent="0.35">
      <c r="K979" s="37" t="str">
        <f t="shared" si="17"/>
        <v/>
      </c>
    </row>
    <row r="980" spans="11:11" ht="18" customHeight="1" x14ac:dyDescent="0.35">
      <c r="K980" s="37" t="str">
        <f t="shared" si="17"/>
        <v/>
      </c>
    </row>
    <row r="981" spans="11:11" ht="18" customHeight="1" x14ac:dyDescent="0.35">
      <c r="K981" s="37" t="str">
        <f t="shared" si="17"/>
        <v/>
      </c>
    </row>
    <row r="982" spans="11:11" ht="18" customHeight="1" x14ac:dyDescent="0.35">
      <c r="K982" s="37" t="str">
        <f t="shared" si="17"/>
        <v/>
      </c>
    </row>
    <row r="983" spans="11:11" ht="18" customHeight="1" x14ac:dyDescent="0.35">
      <c r="K983" s="37" t="str">
        <f t="shared" si="17"/>
        <v/>
      </c>
    </row>
    <row r="984" spans="11:11" ht="18" customHeight="1" x14ac:dyDescent="0.35">
      <c r="K984" s="37" t="str">
        <f t="shared" si="17"/>
        <v/>
      </c>
    </row>
    <row r="985" spans="11:11" ht="18" customHeight="1" x14ac:dyDescent="0.35">
      <c r="K985" s="37" t="str">
        <f t="shared" si="17"/>
        <v/>
      </c>
    </row>
    <row r="986" spans="11:11" ht="18" customHeight="1" x14ac:dyDescent="0.35">
      <c r="K986" s="37" t="str">
        <f t="shared" si="17"/>
        <v/>
      </c>
    </row>
    <row r="987" spans="11:11" ht="18" customHeight="1" x14ac:dyDescent="0.35">
      <c r="K987" s="37" t="str">
        <f t="shared" si="17"/>
        <v/>
      </c>
    </row>
    <row r="988" spans="11:11" ht="18" customHeight="1" x14ac:dyDescent="0.35">
      <c r="K988" s="37" t="str">
        <f t="shared" si="17"/>
        <v/>
      </c>
    </row>
    <row r="989" spans="11:11" ht="18" customHeight="1" x14ac:dyDescent="0.35">
      <c r="K989" s="37" t="str">
        <f t="shared" si="17"/>
        <v/>
      </c>
    </row>
    <row r="990" spans="11:11" ht="18" customHeight="1" x14ac:dyDescent="0.35">
      <c r="K990" s="37" t="str">
        <f t="shared" si="17"/>
        <v/>
      </c>
    </row>
    <row r="991" spans="11:11" ht="18" customHeight="1" x14ac:dyDescent="0.35">
      <c r="K991" s="37" t="str">
        <f t="shared" si="17"/>
        <v/>
      </c>
    </row>
    <row r="992" spans="11:11" ht="18" customHeight="1" x14ac:dyDescent="0.35">
      <c r="K992" s="37" t="str">
        <f t="shared" si="17"/>
        <v/>
      </c>
    </row>
    <row r="993" spans="11:11" ht="18" customHeight="1" x14ac:dyDescent="0.35">
      <c r="K993" s="37" t="str">
        <f t="shared" si="17"/>
        <v/>
      </c>
    </row>
    <row r="994" spans="11:11" ht="18" customHeight="1" x14ac:dyDescent="0.35">
      <c r="K994" s="37" t="str">
        <f t="shared" si="17"/>
        <v/>
      </c>
    </row>
    <row r="995" spans="11:11" ht="18" customHeight="1" x14ac:dyDescent="0.35">
      <c r="K995" s="37" t="str">
        <f t="shared" si="17"/>
        <v/>
      </c>
    </row>
    <row r="996" spans="11:11" ht="18" customHeight="1" x14ac:dyDescent="0.35">
      <c r="K996" s="37" t="str">
        <f t="shared" si="17"/>
        <v/>
      </c>
    </row>
    <row r="997" spans="11:11" ht="18" customHeight="1" x14ac:dyDescent="0.35">
      <c r="K997" s="37" t="str">
        <f t="shared" si="17"/>
        <v/>
      </c>
    </row>
    <row r="998" spans="11:11" ht="18" customHeight="1" x14ac:dyDescent="0.35">
      <c r="K998" s="37" t="str">
        <f t="shared" si="17"/>
        <v/>
      </c>
    </row>
    <row r="999" spans="11:11" ht="18" customHeight="1" x14ac:dyDescent="0.35">
      <c r="K999" s="37" t="str">
        <f t="shared" si="17"/>
        <v/>
      </c>
    </row>
    <row r="1000" spans="11:11" ht="18" customHeight="1" x14ac:dyDescent="0.35">
      <c r="K1000" s="37" t="str">
        <f t="shared" si="17"/>
        <v/>
      </c>
    </row>
  </sheetData>
  <sheetProtection algorithmName="SHA-512" hashValue="CCHF6Gy0+zjSEGsrXvbfGUk1PqdKFnf2KLe6eeuMlzyGFy5q7nGeyOiV+GcNejtQPLQnpIq/LY75YVKMcB42EA==" saltValue="fN48G++26Hd8fgt6j3JLfA==" spinCount="100000" sheet="1" objects="1" scenarios="1"/>
  <mergeCells count="2">
    <mergeCell ref="A1:P1"/>
    <mergeCell ref="A2:P2"/>
  </mergeCells>
  <dataValidations count="2">
    <dataValidation type="list" errorTitle="Invalid Currency" error="Please select from the list" promptTitle="Currency" prompt="Select currency" sqref="I4:I14" xr:uid="{00000000-0002-0000-0700-000000000000}">
      <formula1>"USD,EUR,GBP,EGP"</formula1>
      <formula2>0</formula2>
    </dataValidation>
    <dataValidation type="list" errorTitle="Invalid Status" error="Please select from the list" promptTitle="Status" prompt="Select booking status" sqref="N4:N14" xr:uid="{00000000-0002-0000-0700-000001000000}">
      <formula1>"Confirmed,Checked Out,Invoiced,Cancelled"</formula1>
      <formula2>0</formula2>
    </dataValidation>
  </dataValidations>
  <hyperlinks>
    <hyperlink ref="R1" location="DMC_NAVIGATION!A1" display="🏠 Back to Home" xr:uid="{00000000-0004-0000-07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L13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50" style="2" customWidth="1"/>
    <col min="2" max="2" width="15" style="2" customWidth="1"/>
    <col min="3" max="3" width="10" style="2" customWidth="1"/>
    <col min="4" max="4" width="27" style="2" customWidth="1"/>
    <col min="5" max="5" width="16" style="2" customWidth="1"/>
    <col min="6" max="6" width="10" style="2" customWidth="1"/>
    <col min="7" max="7" width="14" style="2" customWidth="1"/>
    <col min="8" max="8" width="10" style="2" customWidth="1"/>
    <col min="9" max="9" width="15" style="2" customWidth="1"/>
    <col min="10" max="10" width="8" style="2" customWidth="1"/>
    <col min="11" max="11" width="8.6328125" style="2"/>
    <col min="12" max="12" width="18" style="2" customWidth="1"/>
    <col min="13" max="16384" width="8.6328125" style="2"/>
  </cols>
  <sheetData>
    <row r="1" spans="1:12" ht="25.5" customHeight="1" x14ac:dyDescent="0.35">
      <c r="A1" s="26" t="s">
        <v>546</v>
      </c>
      <c r="B1" s="26"/>
      <c r="C1" s="26"/>
      <c r="D1" s="26"/>
      <c r="E1" s="26"/>
      <c r="F1" s="26"/>
      <c r="G1" s="26"/>
      <c r="H1" s="26"/>
      <c r="I1" s="26"/>
      <c r="J1" s="26"/>
      <c r="L1" s="20" t="s">
        <v>88</v>
      </c>
    </row>
    <row r="2" spans="1:12" ht="19.5" customHeight="1" x14ac:dyDescent="0.35">
      <c r="A2" s="29" t="s">
        <v>547</v>
      </c>
      <c r="B2" s="29"/>
      <c r="C2" s="29"/>
      <c r="D2" s="29"/>
      <c r="E2" s="29"/>
      <c r="F2" s="29"/>
      <c r="G2" s="29"/>
      <c r="H2" s="29"/>
      <c r="I2" s="29"/>
      <c r="J2" s="29"/>
    </row>
    <row r="3" spans="1:12" ht="31.5" customHeight="1" x14ac:dyDescent="0.35">
      <c r="A3" s="30" t="s">
        <v>548</v>
      </c>
      <c r="B3" s="30" t="s">
        <v>510</v>
      </c>
      <c r="C3" s="30" t="s">
        <v>447</v>
      </c>
      <c r="D3" s="30" t="s">
        <v>448</v>
      </c>
      <c r="E3" s="30" t="s">
        <v>549</v>
      </c>
      <c r="F3" s="30" t="s">
        <v>253</v>
      </c>
      <c r="G3" s="30" t="s">
        <v>550</v>
      </c>
      <c r="H3" s="30" t="s">
        <v>551</v>
      </c>
      <c r="I3" s="30" t="s">
        <v>552</v>
      </c>
      <c r="J3" s="30" t="s">
        <v>7</v>
      </c>
    </row>
    <row r="4" spans="1:12" ht="18" customHeight="1" x14ac:dyDescent="0.35">
      <c r="A4" s="2" t="s">
        <v>553</v>
      </c>
      <c r="B4" s="2" t="s">
        <v>521</v>
      </c>
      <c r="C4" s="37" t="str">
        <f>IFERROR(INDEX(TB_Master_Bookings!$O$4:$O$1000,MATCH(B4,TB_Master_Bookings!$A$4:$A$1000,0)),"")</f>
        <v>HTL-001</v>
      </c>
      <c r="D4" s="37" t="str">
        <f>IF(C4="","",IFERROR(INDEX(TB_Hotels_Master!$B$4:$B$1000,MATCH(C4,TB_Hotels_Master!$A$4:$A$1000,0)),"HOTEL NOT FOUND"))</f>
        <v>Steigenberger Aldau Beach</v>
      </c>
      <c r="E4" s="2" t="s">
        <v>204</v>
      </c>
      <c r="F4" s="2" t="s">
        <v>313</v>
      </c>
      <c r="G4" s="37">
        <f>IFERROR(INDEX(TB_Master_Bookings!$H$4:$H$1000,MATCH(B4,TB_Master_Bookings!$A$4:$A$1000,0))*INDEX(TB_Master_Bookings!$E$4:$E$1000,MATCH(B4,TB_Master_Bookings!$A$4:$A$1000,0))*INDEX(TB_Hotels_Master!$H$4:$H$1000,MATCH(C4,TB_Hotels_Master!$A$4:$A$1000,0)),0)</f>
        <v>100800</v>
      </c>
      <c r="H4" s="37">
        <f>IFERROR(INDEX(TB_Master_Bookings!$L$4:$L$1000,MATCH(B4,TB_Master_Bookings!$A$4:$A$1000,0)),0)</f>
        <v>53.35</v>
      </c>
      <c r="I4" s="37">
        <f t="shared" ref="I4:I13" si="0">G4*H4</f>
        <v>5377680</v>
      </c>
      <c r="J4" s="2" t="s">
        <v>554</v>
      </c>
    </row>
    <row r="5" spans="1:12" ht="18" customHeight="1" x14ac:dyDescent="0.35">
      <c r="A5" s="2" t="s">
        <v>555</v>
      </c>
      <c r="B5" s="2" t="s">
        <v>524</v>
      </c>
      <c r="C5" s="37" t="str">
        <f>IFERROR(INDEX(TB_Master_Bookings!$O$4:$O$1000,MATCH(B5,TB_Master_Bookings!$A$4:$A$1000,0)),"")</f>
        <v>HTL-002</v>
      </c>
      <c r="D5" s="37" t="str">
        <f>IF(C5="","",IFERROR(INDEX(TB_Hotels_Master!$B$4:$B$1000,MATCH(C5,TB_Hotels_Master!$A$4:$A$1000,0)),"HOTEL NOT FOUND"))</f>
        <v>Jaz Aquamarine Resort</v>
      </c>
      <c r="E5" s="2" t="s">
        <v>205</v>
      </c>
      <c r="F5" s="2" t="s">
        <v>313</v>
      </c>
      <c r="G5" s="37">
        <f>IFERROR(INDEX(TB_Master_Bookings!$H$4:$H$1000,MATCH(B5,TB_Master_Bookings!$A$4:$A$1000,0))*INDEX(TB_Master_Bookings!$E$4:$E$1000,MATCH(B5,TB_Master_Bookings!$A$4:$A$1000,0))*INDEX(TB_Hotels_Master!$H$4:$H$1000,MATCH(C5,TB_Hotels_Master!$A$4:$A$1000,0)),0)</f>
        <v>20475</v>
      </c>
      <c r="H5" s="37">
        <f>IFERROR(INDEX(TB_Master_Bookings!$L$4:$L$1000,MATCH(B5,TB_Master_Bookings!$A$4:$A$1000,0)),0)</f>
        <v>49.12</v>
      </c>
      <c r="I5" s="37">
        <f t="shared" si="0"/>
        <v>1005732</v>
      </c>
      <c r="J5" s="2" t="s">
        <v>554</v>
      </c>
    </row>
    <row r="6" spans="1:12" ht="18" customHeight="1" x14ac:dyDescent="0.35">
      <c r="A6" s="2" t="s">
        <v>556</v>
      </c>
      <c r="B6" s="2" t="s">
        <v>526</v>
      </c>
      <c r="C6" s="37" t="str">
        <f>IFERROR(INDEX(TB_Master_Bookings!$O$4:$O$1000,MATCH(B6,TB_Master_Bookings!$A$4:$A$1000,0)),"")</f>
        <v>HTL-003</v>
      </c>
      <c r="D6" s="37" t="str">
        <f>IF(C6="","",IFERROR(INDEX(TB_Hotels_Master!$B$4:$B$1000,MATCH(C6,TB_Hotels_Master!$A$4:$A$1000,0)),"HOTEL NOT FOUND"))</f>
        <v>Sunrise Grand Select</v>
      </c>
      <c r="E6" s="2" t="s">
        <v>206</v>
      </c>
      <c r="F6" s="2" t="s">
        <v>313</v>
      </c>
      <c r="G6" s="37">
        <f>IFERROR(INDEX(TB_Master_Bookings!$H$4:$H$1000,MATCH(B6,TB_Master_Bookings!$A$4:$A$1000,0))*INDEX(TB_Master_Bookings!$E$4:$E$1000,MATCH(B6,TB_Master_Bookings!$A$4:$A$1000,0))*INDEX(TB_Hotels_Master!$H$4:$H$1000,MATCH(C6,TB_Hotels_Master!$A$4:$A$1000,0)),0)</f>
        <v>13020</v>
      </c>
      <c r="H6" s="37">
        <f>IFERROR(INDEX(TB_Master_Bookings!$L$4:$L$1000,MATCH(B6,TB_Master_Bookings!$A$4:$A$1000,0)),0)</f>
        <v>62.3</v>
      </c>
      <c r="I6" s="37">
        <f t="shared" si="0"/>
        <v>811146</v>
      </c>
      <c r="J6" s="2" t="s">
        <v>554</v>
      </c>
    </row>
    <row r="7" spans="1:12" ht="18" customHeight="1" x14ac:dyDescent="0.35">
      <c r="A7" s="2" t="s">
        <v>557</v>
      </c>
      <c r="B7" s="2" t="s">
        <v>528</v>
      </c>
      <c r="C7" s="37" t="str">
        <f>IFERROR(INDEX(TB_Master_Bookings!$O$4:$O$1000,MATCH(B7,TB_Master_Bookings!$A$4:$A$1000,0)),"")</f>
        <v>HTL-004</v>
      </c>
      <c r="D7" s="37" t="str">
        <f>IF(C7="","",IFERROR(INDEX(TB_Hotels_Master!$B$4:$B$1000,MATCH(C7,TB_Hotels_Master!$A$4:$A$1000,0)),"HOTEL NOT FOUND"))</f>
        <v>Pickalbatros Aqua Blu</v>
      </c>
      <c r="E7" s="2" t="s">
        <v>203</v>
      </c>
      <c r="F7" s="2" t="s">
        <v>313</v>
      </c>
      <c r="G7" s="37">
        <f>IFERROR(INDEX(TB_Master_Bookings!$H$4:$H$1000,MATCH(B7,TB_Master_Bookings!$A$4:$A$1000,0))*INDEX(TB_Master_Bookings!$E$4:$E$1000,MATCH(B7,TB_Master_Bookings!$A$4:$A$1000,0))*INDEX(TB_Hotels_Master!$H$4:$H$1000,MATCH(C7,TB_Hotels_Master!$A$4:$A$1000,0)),0)</f>
        <v>17280</v>
      </c>
      <c r="H7" s="37">
        <f>IFERROR(INDEX(TB_Master_Bookings!$L$4:$L$1000,MATCH(B7,TB_Master_Bookings!$A$4:$A$1000,0)),0)</f>
        <v>53.4</v>
      </c>
      <c r="I7" s="37">
        <f t="shared" si="0"/>
        <v>922752</v>
      </c>
      <c r="J7" s="2" t="s">
        <v>554</v>
      </c>
    </row>
    <row r="8" spans="1:12" ht="18" customHeight="1" x14ac:dyDescent="0.35">
      <c r="A8" s="2" t="s">
        <v>558</v>
      </c>
      <c r="B8" s="2" t="s">
        <v>530</v>
      </c>
      <c r="C8" s="37" t="str">
        <f>IFERROR(INDEX(TB_Master_Bookings!$O$4:$O$1000,MATCH(B8,TB_Master_Bookings!$A$4:$A$1000,0)),"")</f>
        <v>HTL-005</v>
      </c>
      <c r="D8" s="37" t="str">
        <f>IF(C8="","",IFERROR(INDEX(TB_Hotels_Master!$B$4:$B$1000,MATCH(C8,TB_Hotels_Master!$A$4:$A$1000,0)),"HOTEL NOT FOUND"))</f>
        <v>Sunny Days El Palacio</v>
      </c>
      <c r="E8" s="2" t="s">
        <v>205</v>
      </c>
      <c r="F8" s="2" t="s">
        <v>313</v>
      </c>
      <c r="G8" s="37">
        <f>IFERROR(INDEX(TB_Master_Bookings!$H$4:$H$1000,MATCH(B8,TB_Master_Bookings!$A$4:$A$1000,0))*INDEX(TB_Master_Bookings!$E$4:$E$1000,MATCH(B8,TB_Master_Bookings!$A$4:$A$1000,0))*INDEX(TB_Hotels_Master!$H$4:$H$1000,MATCH(C8,TB_Hotels_Master!$A$4:$A$1000,0)),0)</f>
        <v>2520</v>
      </c>
      <c r="H8" s="37">
        <f>IFERROR(INDEX(TB_Master_Bookings!$L$4:$L$1000,MATCH(B8,TB_Master_Bookings!$A$4:$A$1000,0)),0)</f>
        <v>49.12</v>
      </c>
      <c r="I8" s="37">
        <f t="shared" si="0"/>
        <v>123782.39999999999</v>
      </c>
      <c r="J8" s="2" t="s">
        <v>554</v>
      </c>
    </row>
    <row r="9" spans="1:12" ht="18" customHeight="1" x14ac:dyDescent="0.35">
      <c r="A9" s="2" t="s">
        <v>559</v>
      </c>
      <c r="B9" s="2" t="s">
        <v>535</v>
      </c>
      <c r="C9" s="37" t="str">
        <f>IFERROR(INDEX(TB_Master_Bookings!$O$4:$O$1000,MATCH(B9,TB_Master_Bookings!$A$4:$A$1000,0)),"")</f>
        <v>HTL-006</v>
      </c>
      <c r="D9" s="37" t="str">
        <f>IF(C9="","",IFERROR(INDEX(TB_Hotels_Master!$B$4:$B$1000,MATCH(C9,TB_Hotels_Master!$A$4:$A$1000,0)),"HOTEL NOT FOUND"))</f>
        <v>Sun &amp; Sea Beach Resort</v>
      </c>
      <c r="E9" s="2" t="s">
        <v>212</v>
      </c>
      <c r="F9" s="2" t="s">
        <v>313</v>
      </c>
      <c r="G9" s="37">
        <f>IFERROR(INDEX(TB_Master_Bookings!$H$4:$H$1000,MATCH(B9,TB_Master_Bookings!$A$4:$A$1000,0))*INDEX(TB_Master_Bookings!$E$4:$E$1000,MATCH(B9,TB_Master_Bookings!$A$4:$A$1000,0))*INDEX(TB_Hotels_Master!$H$4:$H$1000,MATCH(C9,TB_Hotels_Master!$A$4:$A$1000,0)),0)</f>
        <v>106400</v>
      </c>
      <c r="H9" s="37">
        <f>IFERROR(INDEX(TB_Master_Bookings!$L$4:$L$1000,MATCH(B9,TB_Master_Bookings!$A$4:$A$1000,0)),0)</f>
        <v>54.2</v>
      </c>
      <c r="I9" s="37">
        <f t="shared" si="0"/>
        <v>5766880</v>
      </c>
      <c r="J9" s="2" t="s">
        <v>554</v>
      </c>
    </row>
    <row r="10" spans="1:12" ht="18" customHeight="1" x14ac:dyDescent="0.35">
      <c r="A10" s="2" t="s">
        <v>560</v>
      </c>
      <c r="B10" s="2" t="s">
        <v>538</v>
      </c>
      <c r="C10" s="37" t="str">
        <f>IFERROR(INDEX(TB_Master_Bookings!$O$4:$O$1000,MATCH(B10,TB_Master_Bookings!$A$4:$A$1000,0)),"")</f>
        <v>HTL-007</v>
      </c>
      <c r="D10" s="37" t="str">
        <f>IF(C10="","",IFERROR(INDEX(TB_Hotels_Master!$B$4:$B$1000,MATCH(C10,TB_Hotels_Master!$A$4:$A$1000,0)),"HOTEL NOT FOUND"))</f>
        <v>Coral Hills Resort</v>
      </c>
      <c r="E10" s="2" t="s">
        <v>212</v>
      </c>
      <c r="F10" s="2" t="s">
        <v>277</v>
      </c>
      <c r="G10" s="37">
        <f>IFERROR(INDEX(TB_Master_Bookings!$H$4:$H$1000,MATCH(B10,TB_Master_Bookings!$A$4:$A$1000,0))*INDEX(TB_Master_Bookings!$E$4:$E$1000,MATCH(B10,TB_Master_Bookings!$A$4:$A$1000,0))*INDEX(TB_Hotels_Master!$H$4:$H$1000,MATCH(C10,TB_Hotels_Master!$A$4:$A$1000,0)),0)</f>
        <v>19320</v>
      </c>
      <c r="H10" s="37">
        <f>IFERROR(INDEX(TB_Master_Bookings!$L$4:$L$1000,MATCH(B10,TB_Master_Bookings!$A$4:$A$1000,0)),0)</f>
        <v>49.3</v>
      </c>
      <c r="I10" s="37">
        <f t="shared" si="0"/>
        <v>952476</v>
      </c>
      <c r="J10" s="2" t="s">
        <v>554</v>
      </c>
    </row>
    <row r="11" spans="1:12" ht="18" customHeight="1" x14ac:dyDescent="0.35">
      <c r="A11" s="2" t="s">
        <v>561</v>
      </c>
      <c r="B11" s="2" t="s">
        <v>540</v>
      </c>
      <c r="C11" s="37" t="str">
        <f>IFERROR(INDEX(TB_Master_Bookings!$O$4:$O$1000,MATCH(B11,TB_Master_Bookings!$A$4:$A$1000,0)),"")</f>
        <v>HTL-008</v>
      </c>
      <c r="D11" s="37" t="str">
        <f>IF(C11="","",IFERROR(INDEX(TB_Hotels_Master!$B$4:$B$1000,MATCH(C11,TB_Hotels_Master!$A$4:$A$1000,0)),"HOTEL NOT FOUND"))</f>
        <v>Blue Lagoon Palace</v>
      </c>
      <c r="E11" s="2" t="s">
        <v>213</v>
      </c>
      <c r="F11" s="2" t="s">
        <v>409</v>
      </c>
      <c r="G11" s="37">
        <f>IFERROR(INDEX(TB_Master_Bookings!$H$4:$H$1000,MATCH(B11,TB_Master_Bookings!$A$4:$A$1000,0))*INDEX(TB_Master_Bookings!$E$4:$E$1000,MATCH(B11,TB_Master_Bookings!$A$4:$A$1000,0))*INDEX(TB_Hotels_Master!$H$4:$H$1000,MATCH(C11,TB_Hotels_Master!$A$4:$A$1000,0)),0)</f>
        <v>17408</v>
      </c>
      <c r="H11" s="37">
        <f>IFERROR(INDEX(TB_Master_Bookings!$L$4:$L$1000,MATCH(B11,TB_Master_Bookings!$A$4:$A$1000,0)),0)</f>
        <v>63.25</v>
      </c>
      <c r="I11" s="37">
        <f t="shared" si="0"/>
        <v>1101056</v>
      </c>
      <c r="J11" s="2" t="s">
        <v>554</v>
      </c>
    </row>
    <row r="12" spans="1:12" ht="18" customHeight="1" x14ac:dyDescent="0.35">
      <c r="A12" s="2" t="s">
        <v>562</v>
      </c>
      <c r="B12" s="2" t="s">
        <v>542</v>
      </c>
      <c r="C12" s="37" t="str">
        <f>IFERROR(INDEX(TB_Master_Bookings!$O$4:$O$1000,MATCH(B12,TB_Master_Bookings!$A$4:$A$1000,0)),"")</f>
        <v>HTL-009</v>
      </c>
      <c r="D12" s="37" t="str">
        <f>IF(C12="","",IFERROR(INDEX(TB_Hotels_Master!$B$4:$B$1000,MATCH(C12,TB_Hotels_Master!$A$4:$A$1000,0)),"HOTEL NOT FOUND"))</f>
        <v>Desert Rose Plaza</v>
      </c>
      <c r="E12" s="2" t="s">
        <v>212</v>
      </c>
      <c r="F12" s="2" t="s">
        <v>277</v>
      </c>
      <c r="G12" s="37">
        <f>IFERROR(INDEX(TB_Master_Bookings!$H$4:$H$1000,MATCH(B12,TB_Master_Bookings!$A$4:$A$1000,0))*INDEX(TB_Master_Bookings!$E$4:$E$1000,MATCH(B12,TB_Master_Bookings!$A$4:$A$1000,0))*INDEX(TB_Hotels_Master!$H$4:$H$1000,MATCH(C12,TB_Hotels_Master!$A$4:$A$1000,0)),0)</f>
        <v>33600</v>
      </c>
      <c r="H12" s="37">
        <f>IFERROR(INDEX(TB_Master_Bookings!$L$4:$L$1000,MATCH(B12,TB_Master_Bookings!$A$4:$A$1000,0)),0)</f>
        <v>49.3</v>
      </c>
      <c r="I12" s="37">
        <f t="shared" si="0"/>
        <v>1656480</v>
      </c>
      <c r="J12" s="2" t="s">
        <v>554</v>
      </c>
    </row>
    <row r="13" spans="1:12" ht="18" customHeight="1" x14ac:dyDescent="0.35">
      <c r="A13" s="2" t="s">
        <v>563</v>
      </c>
      <c r="B13" s="2" t="s">
        <v>544</v>
      </c>
      <c r="C13" s="37" t="str">
        <f>IFERROR(INDEX(TB_Master_Bookings!$O$4:$O$1000,MATCH(B13,TB_Master_Bookings!$A$4:$A$1000,0)),"")</f>
        <v>HTL-010</v>
      </c>
      <c r="D13" s="37" t="str">
        <f>IF(C13="","",IFERROR(INDEX(TB_Hotels_Master!$B$4:$B$1000,MATCH(C13,TB_Hotels_Master!$A$4:$A$1000,0)),"HOTEL NOT FOUND"))</f>
        <v>Seagull Beach Resort</v>
      </c>
      <c r="E13" s="2" t="s">
        <v>214</v>
      </c>
      <c r="F13" s="2" t="s">
        <v>313</v>
      </c>
      <c r="G13" s="37">
        <f>IFERROR(INDEX(TB_Master_Bookings!$H$4:$H$1000,MATCH(B13,TB_Master_Bookings!$A$4:$A$1000,0))*INDEX(TB_Master_Bookings!$E$4:$E$1000,MATCH(B13,TB_Master_Bookings!$A$4:$A$1000,0))*INDEX(TB_Hotels_Master!$H$4:$H$1000,MATCH(C13,TB_Hotels_Master!$A$4:$A$1000,0)),0)</f>
        <v>30940</v>
      </c>
      <c r="H13" s="37">
        <f>IFERROR(INDEX(TB_Master_Bookings!$L$4:$L$1000,MATCH(B13,TB_Master_Bookings!$A$4:$A$1000,0)),0)</f>
        <v>54.4</v>
      </c>
      <c r="I13" s="37">
        <f t="shared" si="0"/>
        <v>1683136</v>
      </c>
      <c r="J13" s="2" t="s">
        <v>554</v>
      </c>
    </row>
  </sheetData>
  <sheetProtection algorithmName="SHA-512" hashValue="plOUgSgeU4c/Rzqr32l5j3AXQoI51Uurg1muSMDh0wmHxbKS/rFvEoqQ21L36hs1Un+QllldbcdkxUH49DmyUw==" saltValue="LlxQZjtWwL2daUuhP2IhOg==" spinCount="100000" sheet="1" objects="1" scenarios="1"/>
  <mergeCells count="2">
    <mergeCell ref="A1:J1"/>
    <mergeCell ref="A2:J2"/>
  </mergeCells>
  <hyperlinks>
    <hyperlink ref="L1" location="DMC_NAVIGATION!A1" display="🏠 Back to Home" xr:uid="{00000000-0004-0000-08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T21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50" style="2" customWidth="1"/>
    <col min="2" max="3" width="12" style="2" customWidth="1"/>
    <col min="4" max="4" width="14" style="2" customWidth="1"/>
    <col min="5" max="5" width="27" style="2" customWidth="1"/>
    <col min="6" max="6" width="21" style="2" customWidth="1"/>
    <col min="7" max="7" width="10" style="2" customWidth="1"/>
    <col min="8" max="8" width="9" style="2" customWidth="1"/>
    <col min="9" max="9" width="15" style="2" customWidth="1"/>
    <col min="10" max="10" width="16" style="2" customWidth="1"/>
    <col min="11" max="11" width="10" style="2" customWidth="1"/>
    <col min="12" max="12" width="17" style="2" customWidth="1"/>
    <col min="13" max="14" width="16" style="2" customWidth="1"/>
    <col min="15" max="15" width="19" style="2" customWidth="1"/>
    <col min="16" max="16" width="20" style="2" customWidth="1"/>
    <col min="17" max="17" width="16" style="2" customWidth="1"/>
    <col min="18" max="18" width="8.6328125" style="2"/>
    <col min="19" max="19" width="18" style="2" customWidth="1"/>
    <col min="20" max="20" width="16" style="2" customWidth="1"/>
    <col min="21" max="16384" width="8.6328125" style="2"/>
  </cols>
  <sheetData>
    <row r="1" spans="1:20" ht="25.5" customHeight="1" x14ac:dyDescent="0.35">
      <c r="A1" s="26" t="s">
        <v>564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8"/>
      <c r="T1" s="27" t="s">
        <v>88</v>
      </c>
    </row>
    <row r="2" spans="1:20" ht="19.5" customHeight="1" x14ac:dyDescent="0.35">
      <c r="A2" s="29" t="s">
        <v>565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20" ht="31.5" customHeight="1" x14ac:dyDescent="0.35">
      <c r="A3" s="30" t="s">
        <v>566</v>
      </c>
      <c r="B3" s="30" t="s">
        <v>567</v>
      </c>
      <c r="C3" s="30" t="s">
        <v>472</v>
      </c>
      <c r="D3" s="30" t="s">
        <v>568</v>
      </c>
      <c r="E3" s="30" t="s">
        <v>354</v>
      </c>
      <c r="F3" s="30" t="s">
        <v>569</v>
      </c>
      <c r="G3" s="30" t="s">
        <v>253</v>
      </c>
      <c r="H3" s="30" t="s">
        <v>570</v>
      </c>
      <c r="I3" s="30" t="s">
        <v>571</v>
      </c>
      <c r="J3" s="30" t="s">
        <v>572</v>
      </c>
      <c r="K3" s="30" t="s">
        <v>551</v>
      </c>
      <c r="L3" s="30" t="s">
        <v>573</v>
      </c>
      <c r="M3" s="30" t="s">
        <v>574</v>
      </c>
      <c r="N3" s="30" t="s">
        <v>575</v>
      </c>
      <c r="O3" s="30" t="s">
        <v>576</v>
      </c>
      <c r="P3" s="30" t="s">
        <v>577</v>
      </c>
      <c r="Q3" s="30" t="s">
        <v>578</v>
      </c>
      <c r="R3" s="34" t="s">
        <v>481</v>
      </c>
    </row>
    <row r="4" spans="1:20" ht="18" customHeight="1" x14ac:dyDescent="0.35">
      <c r="A4" s="2" t="s">
        <v>579</v>
      </c>
      <c r="B4" s="2" t="s">
        <v>204</v>
      </c>
      <c r="C4" s="2" t="s">
        <v>482</v>
      </c>
      <c r="D4" s="2" t="s">
        <v>580</v>
      </c>
      <c r="E4" s="2" t="s">
        <v>353</v>
      </c>
      <c r="F4" s="2" t="s">
        <v>581</v>
      </c>
      <c r="G4" s="2" t="s">
        <v>277</v>
      </c>
      <c r="H4" s="2">
        <v>1</v>
      </c>
      <c r="I4" s="2">
        <v>65</v>
      </c>
      <c r="J4" s="37">
        <f t="shared" ref="J4:J21" si="0">H4*I4</f>
        <v>65</v>
      </c>
      <c r="K4" s="2">
        <v>49.08</v>
      </c>
      <c r="L4" s="37">
        <f t="shared" ref="L4:L20" si="1">J4*K4</f>
        <v>3190.2</v>
      </c>
      <c r="M4" s="2" t="s">
        <v>582</v>
      </c>
      <c r="N4" s="2">
        <v>0.1</v>
      </c>
      <c r="O4" s="37">
        <f t="shared" ref="O4:O21" si="2">J4*N4</f>
        <v>6.5</v>
      </c>
      <c r="P4" s="37">
        <f t="shared" ref="P4:P21" si="3">O4*K4</f>
        <v>319.02</v>
      </c>
      <c r="Q4" s="2" t="s">
        <v>583</v>
      </c>
      <c r="R4" s="37" t="str">
        <f>IFERROR(INDEX(TB_Master_Bookings!$B$4:$B$1000,MATCH(INDEX(TB_Hotels_Master!$A$4:$A$1000,MATCH(E4,TB_Hotels_Master!$B$4:$B$1000,0)),TB_Master_Bookings!$O$4:$O$1000,0)),"")</f>
        <v>CLI-001</v>
      </c>
    </row>
    <row r="5" spans="1:20" ht="18" customHeight="1" x14ac:dyDescent="0.35">
      <c r="A5" s="2" t="s">
        <v>584</v>
      </c>
      <c r="B5" s="2" t="s">
        <v>204</v>
      </c>
      <c r="C5" s="2" t="s">
        <v>482</v>
      </c>
      <c r="D5" s="2" t="s">
        <v>585</v>
      </c>
      <c r="E5" s="2" t="s">
        <v>353</v>
      </c>
      <c r="F5" s="2" t="s">
        <v>586</v>
      </c>
      <c r="G5" s="2" t="s">
        <v>277</v>
      </c>
      <c r="H5" s="2">
        <v>1</v>
      </c>
      <c r="I5" s="2">
        <v>35</v>
      </c>
      <c r="J5" s="37">
        <f t="shared" si="0"/>
        <v>35</v>
      </c>
      <c r="K5" s="2">
        <v>49.08</v>
      </c>
      <c r="L5" s="37">
        <f t="shared" si="1"/>
        <v>1717.8</v>
      </c>
      <c r="M5" s="2" t="s">
        <v>587</v>
      </c>
      <c r="N5" s="2">
        <v>0.12</v>
      </c>
      <c r="O5" s="37">
        <f t="shared" si="2"/>
        <v>4.2</v>
      </c>
      <c r="P5" s="37">
        <f t="shared" si="3"/>
        <v>206.136</v>
      </c>
      <c r="Q5" s="2" t="s">
        <v>588</v>
      </c>
      <c r="R5" s="37" t="str">
        <f>IFERROR(INDEX(TB_Master_Bookings!$B$4:$B$1000,MATCH(INDEX(TB_Hotels_Master!$A$4:$A$1000,MATCH(E5,TB_Hotels_Master!$B$4:$B$1000,0)),TB_Master_Bookings!$O$4:$O$1000,0)),"")</f>
        <v>CLI-001</v>
      </c>
    </row>
    <row r="6" spans="1:20" ht="18" customHeight="1" x14ac:dyDescent="0.35">
      <c r="A6" s="2" t="s">
        <v>589</v>
      </c>
      <c r="B6" s="2" t="s">
        <v>204</v>
      </c>
      <c r="C6" s="2" t="s">
        <v>486</v>
      </c>
      <c r="D6" s="2" t="s">
        <v>590</v>
      </c>
      <c r="E6" s="2" t="s">
        <v>357</v>
      </c>
      <c r="F6" s="2" t="s">
        <v>591</v>
      </c>
      <c r="G6" s="2" t="s">
        <v>277</v>
      </c>
      <c r="H6" s="2">
        <v>1</v>
      </c>
      <c r="I6" s="2">
        <v>45</v>
      </c>
      <c r="J6" s="37">
        <f t="shared" si="0"/>
        <v>45</v>
      </c>
      <c r="K6" s="2">
        <v>49.08</v>
      </c>
      <c r="L6" s="37">
        <f t="shared" si="1"/>
        <v>2208.6</v>
      </c>
      <c r="M6" s="2" t="s">
        <v>582</v>
      </c>
      <c r="N6" s="2">
        <v>0.1</v>
      </c>
      <c r="O6" s="37">
        <f t="shared" si="2"/>
        <v>4.5</v>
      </c>
      <c r="P6" s="37">
        <f t="shared" si="3"/>
        <v>220.85999999999999</v>
      </c>
      <c r="Q6" s="2" t="s">
        <v>583</v>
      </c>
      <c r="R6" s="37" t="str">
        <f>IFERROR(INDEX(TB_Master_Bookings!$B$4:$B$1000,MATCH(INDEX(TB_Hotels_Master!$A$4:$A$1000,MATCH(E6,TB_Hotels_Master!$B$4:$B$1000,0)),TB_Master_Bookings!$O$4:$O$1000,0)),"")</f>
        <v>CLI-002</v>
      </c>
    </row>
    <row r="7" spans="1:20" ht="18" customHeight="1" x14ac:dyDescent="0.35">
      <c r="A7" s="2" t="s">
        <v>592</v>
      </c>
      <c r="B7" s="2" t="s">
        <v>204</v>
      </c>
      <c r="C7" s="2" t="s">
        <v>486</v>
      </c>
      <c r="D7" s="2" t="s">
        <v>593</v>
      </c>
      <c r="E7" s="2" t="s">
        <v>357</v>
      </c>
      <c r="F7" s="2" t="s">
        <v>581</v>
      </c>
      <c r="G7" s="2" t="s">
        <v>277</v>
      </c>
      <c r="H7" s="2">
        <v>1</v>
      </c>
      <c r="I7" s="2">
        <v>65</v>
      </c>
      <c r="J7" s="37">
        <f t="shared" si="0"/>
        <v>65</v>
      </c>
      <c r="K7" s="2">
        <v>49.08</v>
      </c>
      <c r="L7" s="37">
        <f t="shared" si="1"/>
        <v>3190.2</v>
      </c>
      <c r="M7" s="2" t="s">
        <v>587</v>
      </c>
      <c r="N7" s="2">
        <v>0.1</v>
      </c>
      <c r="O7" s="37">
        <f t="shared" si="2"/>
        <v>6.5</v>
      </c>
      <c r="P7" s="37">
        <f t="shared" si="3"/>
        <v>319.02</v>
      </c>
      <c r="Q7" s="2" t="s">
        <v>588</v>
      </c>
      <c r="R7" s="37" t="str">
        <f>IFERROR(INDEX(TB_Master_Bookings!$B$4:$B$1000,MATCH(INDEX(TB_Hotels_Master!$A$4:$A$1000,MATCH(E7,TB_Hotels_Master!$B$4:$B$1000,0)),TB_Master_Bookings!$O$4:$O$1000,0)),"")</f>
        <v>CLI-002</v>
      </c>
    </row>
    <row r="8" spans="1:20" ht="18" customHeight="1" x14ac:dyDescent="0.35">
      <c r="A8" s="2" t="s">
        <v>594</v>
      </c>
      <c r="B8" s="2" t="s">
        <v>204</v>
      </c>
      <c r="C8" s="2" t="s">
        <v>489</v>
      </c>
      <c r="D8" s="2" t="s">
        <v>595</v>
      </c>
      <c r="E8" s="2" t="s">
        <v>360</v>
      </c>
      <c r="F8" s="2" t="s">
        <v>586</v>
      </c>
      <c r="G8" s="2" t="s">
        <v>409</v>
      </c>
      <c r="H8" s="2">
        <v>1</v>
      </c>
      <c r="I8" s="2">
        <v>35</v>
      </c>
      <c r="J8" s="37">
        <f t="shared" si="0"/>
        <v>35</v>
      </c>
      <c r="K8" s="2">
        <v>62.15</v>
      </c>
      <c r="L8" s="37">
        <f t="shared" si="1"/>
        <v>2175.25</v>
      </c>
      <c r="M8" s="2" t="s">
        <v>582</v>
      </c>
      <c r="N8" s="2">
        <v>0.12</v>
      </c>
      <c r="O8" s="37">
        <f t="shared" si="2"/>
        <v>4.2</v>
      </c>
      <c r="P8" s="37">
        <f t="shared" si="3"/>
        <v>261.03000000000003</v>
      </c>
      <c r="Q8" s="2" t="s">
        <v>583</v>
      </c>
      <c r="R8" s="37" t="str">
        <f>IFERROR(INDEX(TB_Master_Bookings!$B$4:$B$1000,MATCH(INDEX(TB_Hotels_Master!$A$4:$A$1000,MATCH(E8,TB_Hotels_Master!$B$4:$B$1000,0)),TB_Master_Bookings!$O$4:$O$1000,0)),"")</f>
        <v>CLI-003</v>
      </c>
    </row>
    <row r="9" spans="1:20" ht="18" customHeight="1" x14ac:dyDescent="0.35">
      <c r="A9" s="2" t="s">
        <v>596</v>
      </c>
      <c r="B9" s="2" t="s">
        <v>204</v>
      </c>
      <c r="C9" s="2" t="s">
        <v>482</v>
      </c>
      <c r="D9" s="2" t="s">
        <v>597</v>
      </c>
      <c r="E9" s="2" t="s">
        <v>353</v>
      </c>
      <c r="F9" s="2" t="s">
        <v>598</v>
      </c>
      <c r="G9" s="2" t="s">
        <v>277</v>
      </c>
      <c r="H9" s="2">
        <v>1</v>
      </c>
      <c r="I9" s="2">
        <v>45</v>
      </c>
      <c r="J9" s="37">
        <f t="shared" si="0"/>
        <v>45</v>
      </c>
      <c r="K9" s="2">
        <v>49.08</v>
      </c>
      <c r="L9" s="37">
        <f t="shared" si="1"/>
        <v>2208.6</v>
      </c>
      <c r="M9" s="2" t="s">
        <v>582</v>
      </c>
      <c r="N9" s="2">
        <v>0.1</v>
      </c>
      <c r="O9" s="37">
        <f t="shared" si="2"/>
        <v>4.5</v>
      </c>
      <c r="P9" s="37">
        <f t="shared" si="3"/>
        <v>220.85999999999999</v>
      </c>
      <c r="Q9" s="2" t="s">
        <v>583</v>
      </c>
      <c r="R9" s="37" t="str">
        <f>IFERROR(INDEX(TB_Master_Bookings!$B$4:$B$1000,MATCH(INDEX(TB_Hotels_Master!$A$4:$A$1000,MATCH(E9,TB_Hotels_Master!$B$4:$B$1000,0)),TB_Master_Bookings!$O$4:$O$1000,0)),"")</f>
        <v>CLI-001</v>
      </c>
    </row>
    <row r="10" spans="1:20" ht="18" customHeight="1" x14ac:dyDescent="0.35">
      <c r="A10" s="2" t="s">
        <v>599</v>
      </c>
      <c r="B10" s="2" t="s">
        <v>204</v>
      </c>
      <c r="C10" s="2" t="s">
        <v>492</v>
      </c>
      <c r="D10" s="2" t="s">
        <v>600</v>
      </c>
      <c r="E10" s="2" t="s">
        <v>378</v>
      </c>
      <c r="F10" s="2" t="s">
        <v>591</v>
      </c>
      <c r="G10" s="2" t="s">
        <v>313</v>
      </c>
      <c r="H10" s="2">
        <v>1</v>
      </c>
      <c r="I10" s="2">
        <v>45</v>
      </c>
      <c r="J10" s="37">
        <f t="shared" si="0"/>
        <v>45</v>
      </c>
      <c r="K10" s="2">
        <v>53.35</v>
      </c>
      <c r="L10" s="37">
        <f t="shared" si="1"/>
        <v>2400.75</v>
      </c>
      <c r="M10" s="2" t="s">
        <v>587</v>
      </c>
      <c r="N10" s="2">
        <v>0.1</v>
      </c>
      <c r="O10" s="37">
        <f t="shared" si="2"/>
        <v>4.5</v>
      </c>
      <c r="P10" s="37">
        <f t="shared" si="3"/>
        <v>240.07500000000002</v>
      </c>
      <c r="Q10" s="2" t="s">
        <v>588</v>
      </c>
      <c r="R10" s="37" t="str">
        <f>IFERROR(INDEX(TB_Master_Bookings!$B$4:$B$1000,MATCH(INDEX(TB_Hotels_Master!$A$4:$A$1000,MATCH(E10,TB_Hotels_Master!$B$4:$B$1000,0)),TB_Master_Bookings!$O$4:$O$1000,0)),"")</f>
        <v>CLI-004</v>
      </c>
    </row>
    <row r="11" spans="1:20" ht="18" customHeight="1" x14ac:dyDescent="0.35">
      <c r="A11" s="2" t="s">
        <v>601</v>
      </c>
      <c r="B11" s="2" t="s">
        <v>204</v>
      </c>
      <c r="C11" s="2" t="s">
        <v>486</v>
      </c>
      <c r="D11" s="2" t="s">
        <v>602</v>
      </c>
      <c r="E11" s="2" t="s">
        <v>357</v>
      </c>
      <c r="F11" s="2" t="s">
        <v>586</v>
      </c>
      <c r="G11" s="2" t="s">
        <v>277</v>
      </c>
      <c r="H11" s="2">
        <v>1</v>
      </c>
      <c r="I11" s="2">
        <v>35</v>
      </c>
      <c r="J11" s="37">
        <f t="shared" si="0"/>
        <v>35</v>
      </c>
      <c r="K11" s="2">
        <v>49.08</v>
      </c>
      <c r="L11" s="37">
        <f t="shared" si="1"/>
        <v>1717.8</v>
      </c>
      <c r="M11" s="2" t="s">
        <v>582</v>
      </c>
      <c r="N11" s="2">
        <v>0.12</v>
      </c>
      <c r="O11" s="37">
        <f t="shared" si="2"/>
        <v>4.2</v>
      </c>
      <c r="P11" s="37">
        <f t="shared" si="3"/>
        <v>206.136</v>
      </c>
      <c r="Q11" s="2" t="s">
        <v>583</v>
      </c>
      <c r="R11" s="37" t="str">
        <f>IFERROR(INDEX(TB_Master_Bookings!$B$4:$B$1000,MATCH(INDEX(TB_Hotels_Master!$A$4:$A$1000,MATCH(E11,TB_Hotels_Master!$B$4:$B$1000,0)),TB_Master_Bookings!$O$4:$O$1000,0)),"")</f>
        <v>CLI-002</v>
      </c>
    </row>
    <row r="12" spans="1:20" ht="18" customHeight="1" x14ac:dyDescent="0.35">
      <c r="A12" s="2" t="s">
        <v>603</v>
      </c>
      <c r="B12" s="2" t="s">
        <v>204</v>
      </c>
      <c r="C12" s="2" t="s">
        <v>489</v>
      </c>
      <c r="D12" s="2" t="s">
        <v>604</v>
      </c>
      <c r="E12" s="2" t="s">
        <v>360</v>
      </c>
      <c r="F12" s="2" t="s">
        <v>581</v>
      </c>
      <c r="G12" s="2" t="s">
        <v>409</v>
      </c>
      <c r="H12" s="2">
        <v>1</v>
      </c>
      <c r="I12" s="2">
        <v>65</v>
      </c>
      <c r="J12" s="37">
        <f t="shared" si="0"/>
        <v>65</v>
      </c>
      <c r="K12" s="2">
        <v>62.15</v>
      </c>
      <c r="L12" s="37">
        <f t="shared" si="1"/>
        <v>4039.75</v>
      </c>
      <c r="M12" s="2" t="s">
        <v>587</v>
      </c>
      <c r="N12" s="2">
        <v>0.1</v>
      </c>
      <c r="O12" s="37">
        <f t="shared" si="2"/>
        <v>6.5</v>
      </c>
      <c r="P12" s="37">
        <f t="shared" si="3"/>
        <v>403.97499999999997</v>
      </c>
      <c r="Q12" s="2" t="s">
        <v>588</v>
      </c>
      <c r="R12" s="37" t="str">
        <f>IFERROR(INDEX(TB_Master_Bookings!$B$4:$B$1000,MATCH(INDEX(TB_Hotels_Master!$A$4:$A$1000,MATCH(E12,TB_Hotels_Master!$B$4:$B$1000,0)),TB_Master_Bookings!$O$4:$O$1000,0)),"")</f>
        <v>CLI-003</v>
      </c>
    </row>
    <row r="13" spans="1:20" ht="18" customHeight="1" x14ac:dyDescent="0.35">
      <c r="A13" s="2" t="s">
        <v>605</v>
      </c>
      <c r="B13" s="2" t="s">
        <v>204</v>
      </c>
      <c r="C13" s="2" t="s">
        <v>492</v>
      </c>
      <c r="D13" s="2" t="s">
        <v>606</v>
      </c>
      <c r="E13" s="2" t="s">
        <v>378</v>
      </c>
      <c r="F13" s="2" t="s">
        <v>598</v>
      </c>
      <c r="G13" s="2" t="s">
        <v>313</v>
      </c>
      <c r="H13" s="2">
        <v>1</v>
      </c>
      <c r="I13" s="2">
        <v>45</v>
      </c>
      <c r="J13" s="37">
        <f t="shared" si="0"/>
        <v>45</v>
      </c>
      <c r="K13" s="2">
        <v>53.35</v>
      </c>
      <c r="L13" s="37">
        <f t="shared" si="1"/>
        <v>2400.75</v>
      </c>
      <c r="M13" s="2" t="s">
        <v>582</v>
      </c>
      <c r="N13" s="2">
        <v>0.1</v>
      </c>
      <c r="O13" s="37">
        <f t="shared" si="2"/>
        <v>4.5</v>
      </c>
      <c r="P13" s="37">
        <f t="shared" si="3"/>
        <v>240.07500000000002</v>
      </c>
      <c r="Q13" s="2" t="s">
        <v>583</v>
      </c>
      <c r="R13" s="37" t="str">
        <f>IFERROR(INDEX(TB_Master_Bookings!$B$4:$B$1000,MATCH(INDEX(TB_Hotels_Master!$A$4:$A$1000,MATCH(E13,TB_Hotels_Master!$B$4:$B$1000,0)),TB_Master_Bookings!$O$4:$O$1000,0)),"")</f>
        <v>CLI-004</v>
      </c>
    </row>
    <row r="14" spans="1:20" ht="18" customHeight="1" x14ac:dyDescent="0.35">
      <c r="A14" s="2" t="s">
        <v>607</v>
      </c>
      <c r="B14" s="2" t="s">
        <v>209</v>
      </c>
      <c r="C14" s="2" t="s">
        <v>499</v>
      </c>
      <c r="D14" s="2" t="s">
        <v>608</v>
      </c>
      <c r="E14" s="2" t="s">
        <v>363</v>
      </c>
      <c r="F14" s="2" t="s">
        <v>609</v>
      </c>
      <c r="G14" s="2" t="s">
        <v>313</v>
      </c>
      <c r="H14" s="2">
        <v>1</v>
      </c>
      <c r="I14" s="2">
        <v>35</v>
      </c>
      <c r="J14" s="37">
        <f t="shared" si="0"/>
        <v>35</v>
      </c>
      <c r="K14" s="2">
        <v>53.85</v>
      </c>
      <c r="L14" s="37">
        <f t="shared" si="1"/>
        <v>1884.75</v>
      </c>
      <c r="M14" s="2" t="s">
        <v>582</v>
      </c>
      <c r="N14" s="2">
        <v>0.12</v>
      </c>
      <c r="O14" s="37">
        <f t="shared" si="2"/>
        <v>4.2</v>
      </c>
      <c r="P14" s="37">
        <f t="shared" si="3"/>
        <v>226.17000000000002</v>
      </c>
      <c r="Q14" s="2" t="s">
        <v>583</v>
      </c>
      <c r="R14" s="37" t="str">
        <f>IFERROR(INDEX(TB_Master_Bookings!$B$4:$B$1000,MATCH(INDEX(TB_Hotels_Master!$A$4:$A$1000,MATCH(E14,TB_Hotels_Master!$B$4:$B$1000,0)),TB_Master_Bookings!$O$4:$O$1000,0)),"")</f>
        <v>CLI-006</v>
      </c>
    </row>
    <row r="15" spans="1:20" ht="18" customHeight="1" x14ac:dyDescent="0.35">
      <c r="A15" s="2" t="s">
        <v>610</v>
      </c>
      <c r="B15" s="2" t="s">
        <v>209</v>
      </c>
      <c r="C15" s="2" t="s">
        <v>499</v>
      </c>
      <c r="D15" s="2" t="s">
        <v>611</v>
      </c>
      <c r="E15" s="2" t="s">
        <v>363</v>
      </c>
      <c r="F15" s="2" t="s">
        <v>609</v>
      </c>
      <c r="G15" s="2" t="s">
        <v>313</v>
      </c>
      <c r="H15" s="2">
        <v>1</v>
      </c>
      <c r="I15" s="2">
        <v>35</v>
      </c>
      <c r="J15" s="37">
        <f t="shared" si="0"/>
        <v>35</v>
      </c>
      <c r="K15" s="2">
        <v>53.85</v>
      </c>
      <c r="L15" s="37">
        <f t="shared" si="1"/>
        <v>1884.75</v>
      </c>
      <c r="M15" s="2" t="s">
        <v>587</v>
      </c>
      <c r="N15" s="2">
        <v>0.12</v>
      </c>
      <c r="O15" s="37">
        <f t="shared" si="2"/>
        <v>4.2</v>
      </c>
      <c r="P15" s="37">
        <f t="shared" si="3"/>
        <v>226.17000000000002</v>
      </c>
      <c r="Q15" s="2" t="s">
        <v>588</v>
      </c>
      <c r="R15" s="37" t="str">
        <f>IFERROR(INDEX(TB_Master_Bookings!$B$4:$B$1000,MATCH(INDEX(TB_Hotels_Master!$A$4:$A$1000,MATCH(E15,TB_Hotels_Master!$B$4:$B$1000,0)),TB_Master_Bookings!$O$4:$O$1000,0)),"")</f>
        <v>CLI-006</v>
      </c>
    </row>
    <row r="16" spans="1:20" ht="18" customHeight="1" x14ac:dyDescent="0.35">
      <c r="A16" s="2" t="s">
        <v>612</v>
      </c>
      <c r="B16" s="2" t="s">
        <v>209</v>
      </c>
      <c r="C16" s="2" t="s">
        <v>499</v>
      </c>
      <c r="D16" s="2" t="s">
        <v>613</v>
      </c>
      <c r="E16" s="2" t="s">
        <v>363</v>
      </c>
      <c r="F16" s="2" t="s">
        <v>614</v>
      </c>
      <c r="G16" s="2" t="s">
        <v>313</v>
      </c>
      <c r="H16" s="2">
        <v>1</v>
      </c>
      <c r="I16" s="2">
        <v>45</v>
      </c>
      <c r="J16" s="37">
        <f t="shared" si="0"/>
        <v>45</v>
      </c>
      <c r="K16" s="2">
        <v>53.85</v>
      </c>
      <c r="L16" s="37">
        <f t="shared" si="1"/>
        <v>2423.25</v>
      </c>
      <c r="M16" s="2" t="s">
        <v>582</v>
      </c>
      <c r="N16" s="2">
        <v>0.1</v>
      </c>
      <c r="O16" s="37">
        <f t="shared" si="2"/>
        <v>4.5</v>
      </c>
      <c r="P16" s="37">
        <f t="shared" si="3"/>
        <v>242.32500000000002</v>
      </c>
      <c r="Q16" s="2" t="s">
        <v>583</v>
      </c>
      <c r="R16" s="37" t="str">
        <f>IFERROR(INDEX(TB_Master_Bookings!$B$4:$B$1000,MATCH(INDEX(TB_Hotels_Master!$A$4:$A$1000,MATCH(E16,TB_Hotels_Master!$B$4:$B$1000,0)),TB_Master_Bookings!$O$4:$O$1000,0)),"")</f>
        <v>CLI-006</v>
      </c>
    </row>
    <row r="17" spans="1:18" ht="18" customHeight="1" x14ac:dyDescent="0.35">
      <c r="A17" s="2" t="s">
        <v>615</v>
      </c>
      <c r="B17" s="2" t="s">
        <v>210</v>
      </c>
      <c r="C17" s="2" t="s">
        <v>502</v>
      </c>
      <c r="D17" s="2" t="s">
        <v>616</v>
      </c>
      <c r="E17" s="2" t="s">
        <v>369</v>
      </c>
      <c r="F17" s="2" t="s">
        <v>617</v>
      </c>
      <c r="G17" s="2" t="s">
        <v>313</v>
      </c>
      <c r="H17" s="2">
        <v>1</v>
      </c>
      <c r="I17" s="2">
        <v>65</v>
      </c>
      <c r="J17" s="37">
        <f t="shared" si="0"/>
        <v>65</v>
      </c>
      <c r="K17" s="2">
        <v>53.9</v>
      </c>
      <c r="L17" s="37">
        <f t="shared" si="1"/>
        <v>3503.5</v>
      </c>
      <c r="M17" s="2" t="s">
        <v>587</v>
      </c>
      <c r="N17" s="2">
        <v>0.1</v>
      </c>
      <c r="O17" s="37">
        <f t="shared" si="2"/>
        <v>6.5</v>
      </c>
      <c r="P17" s="37">
        <f t="shared" si="3"/>
        <v>350.34999999999997</v>
      </c>
      <c r="Q17" s="2" t="s">
        <v>588</v>
      </c>
      <c r="R17" s="37" t="str">
        <f>IFERROR(INDEX(TB_Master_Bookings!$B$4:$B$1000,MATCH(INDEX(TB_Hotels_Master!$A$4:$A$1000,MATCH(E17,TB_Hotels_Master!$B$4:$B$1000,0)),TB_Master_Bookings!$O$4:$O$1000,0)),"")</f>
        <v>CLI-008</v>
      </c>
    </row>
    <row r="18" spans="1:18" ht="18" customHeight="1" x14ac:dyDescent="0.35">
      <c r="A18" s="2" t="s">
        <v>618</v>
      </c>
      <c r="B18" s="2" t="s">
        <v>210</v>
      </c>
      <c r="C18" s="2" t="s">
        <v>502</v>
      </c>
      <c r="D18" s="2" t="s">
        <v>619</v>
      </c>
      <c r="E18" s="2" t="s">
        <v>369</v>
      </c>
      <c r="F18" s="2" t="s">
        <v>609</v>
      </c>
      <c r="G18" s="2" t="s">
        <v>313</v>
      </c>
      <c r="H18" s="2">
        <v>1</v>
      </c>
      <c r="I18" s="2">
        <v>35</v>
      </c>
      <c r="J18" s="37">
        <f t="shared" si="0"/>
        <v>35</v>
      </c>
      <c r="K18" s="2">
        <v>53.9</v>
      </c>
      <c r="L18" s="37">
        <f t="shared" si="1"/>
        <v>1886.5</v>
      </c>
      <c r="M18" s="2" t="s">
        <v>582</v>
      </c>
      <c r="N18" s="2">
        <v>0.12</v>
      </c>
      <c r="O18" s="37">
        <f t="shared" si="2"/>
        <v>4.2</v>
      </c>
      <c r="P18" s="37">
        <f t="shared" si="3"/>
        <v>226.38</v>
      </c>
      <c r="Q18" s="2" t="s">
        <v>620</v>
      </c>
      <c r="R18" s="37" t="str">
        <f>IFERROR(INDEX(TB_Master_Bookings!$B$4:$B$1000,MATCH(INDEX(TB_Hotels_Master!$A$4:$A$1000,MATCH(E18,TB_Hotels_Master!$B$4:$B$1000,0)),TB_Master_Bookings!$O$4:$O$1000,0)),"")</f>
        <v>CLI-008</v>
      </c>
    </row>
    <row r="19" spans="1:18" ht="18" customHeight="1" x14ac:dyDescent="0.35">
      <c r="A19" s="2" t="s">
        <v>621</v>
      </c>
      <c r="B19" s="2" t="s">
        <v>210</v>
      </c>
      <c r="C19" s="2" t="s">
        <v>502</v>
      </c>
      <c r="D19" s="2" t="s">
        <v>622</v>
      </c>
      <c r="E19" s="2" t="s">
        <v>369</v>
      </c>
      <c r="F19" s="2" t="s">
        <v>614</v>
      </c>
      <c r="G19" s="2" t="s">
        <v>313</v>
      </c>
      <c r="H19" s="2">
        <v>1</v>
      </c>
      <c r="I19" s="2">
        <v>45</v>
      </c>
      <c r="J19" s="37">
        <f t="shared" si="0"/>
        <v>45</v>
      </c>
      <c r="K19" s="2">
        <v>53.9</v>
      </c>
      <c r="L19" s="37">
        <f t="shared" si="1"/>
        <v>2425.5</v>
      </c>
      <c r="M19" s="2" t="s">
        <v>582</v>
      </c>
      <c r="N19" s="2">
        <v>0.1</v>
      </c>
      <c r="O19" s="37">
        <f t="shared" si="2"/>
        <v>4.5</v>
      </c>
      <c r="P19" s="37">
        <f t="shared" si="3"/>
        <v>242.54999999999998</v>
      </c>
      <c r="Q19" s="2" t="s">
        <v>620</v>
      </c>
      <c r="R19" s="37" t="str">
        <f>IFERROR(INDEX(TB_Master_Bookings!$B$4:$B$1000,MATCH(INDEX(TB_Hotels_Master!$A$4:$A$1000,MATCH(E19,TB_Hotels_Master!$B$4:$B$1000,0)),TB_Master_Bookings!$O$4:$O$1000,0)),"")</f>
        <v>CLI-008</v>
      </c>
    </row>
    <row r="20" spans="1:18" ht="18" customHeight="1" x14ac:dyDescent="0.35">
      <c r="A20" s="2" t="s">
        <v>623</v>
      </c>
      <c r="B20" s="2" t="s">
        <v>209</v>
      </c>
      <c r="C20" s="2" t="s">
        <v>499</v>
      </c>
      <c r="D20" s="2" t="s">
        <v>624</v>
      </c>
      <c r="E20" s="2" t="s">
        <v>363</v>
      </c>
      <c r="F20" s="2" t="s">
        <v>617</v>
      </c>
      <c r="G20" s="2" t="s">
        <v>313</v>
      </c>
      <c r="H20" s="2">
        <v>1</v>
      </c>
      <c r="I20" s="2">
        <v>65</v>
      </c>
      <c r="J20" s="37">
        <f t="shared" si="0"/>
        <v>65</v>
      </c>
      <c r="K20" s="2">
        <v>53.85</v>
      </c>
      <c r="L20" s="37">
        <f t="shared" si="1"/>
        <v>3500.25</v>
      </c>
      <c r="M20" s="2" t="s">
        <v>582</v>
      </c>
      <c r="N20" s="2">
        <v>0.1</v>
      </c>
      <c r="O20" s="37">
        <f t="shared" si="2"/>
        <v>6.5</v>
      </c>
      <c r="P20" s="37">
        <f t="shared" si="3"/>
        <v>350.02500000000003</v>
      </c>
      <c r="Q20" s="2" t="s">
        <v>583</v>
      </c>
      <c r="R20" s="37" t="str">
        <f>IFERROR(INDEX(TB_Master_Bookings!$B$4:$B$1000,MATCH(INDEX(TB_Hotels_Master!$A$4:$A$1000,MATCH(E20,TB_Hotels_Master!$B$4:$B$1000,0)),TB_Master_Bookings!$O$4:$O$1000,0)),"")</f>
        <v>CLI-006</v>
      </c>
    </row>
    <row r="21" spans="1:18" ht="18" customHeight="1" x14ac:dyDescent="0.35">
      <c r="A21" s="2" t="s">
        <v>625</v>
      </c>
      <c r="B21" s="2" t="s">
        <v>209</v>
      </c>
      <c r="C21" s="2" t="s">
        <v>499</v>
      </c>
      <c r="D21" s="2" t="s">
        <v>626</v>
      </c>
      <c r="E21" s="2" t="s">
        <v>363</v>
      </c>
      <c r="F21" s="2" t="s">
        <v>609</v>
      </c>
      <c r="G21" s="2" t="s">
        <v>313</v>
      </c>
      <c r="H21" s="2">
        <v>1</v>
      </c>
      <c r="I21" s="2">
        <v>35</v>
      </c>
      <c r="J21" s="37">
        <f t="shared" si="0"/>
        <v>35</v>
      </c>
      <c r="K21" s="2">
        <v>53.85</v>
      </c>
      <c r="L21" s="2">
        <v>1884.75</v>
      </c>
      <c r="M21" s="2" t="s">
        <v>587</v>
      </c>
      <c r="N21" s="2">
        <v>0.12</v>
      </c>
      <c r="O21" s="37">
        <f t="shared" si="2"/>
        <v>4.2</v>
      </c>
      <c r="P21" s="37">
        <f t="shared" si="3"/>
        <v>226.17000000000002</v>
      </c>
      <c r="Q21" s="2" t="s">
        <v>588</v>
      </c>
      <c r="R21" s="37" t="str">
        <f>IFERROR(INDEX(TB_Master_Bookings!$B$4:$B$1000,MATCH(INDEX(TB_Hotels_Master!$A$4:$A$1000,MATCH(E21,TB_Hotels_Master!$B$4:$B$1000,0)),TB_Master_Bookings!$O$4:$O$1000,0)),"")</f>
        <v>CLI-006</v>
      </c>
    </row>
  </sheetData>
  <sheetProtection algorithmName="SHA-512" hashValue="aLltXEg2yYfbsLNwzlQzfn88wpNOkneSQ16fYpmOlZSY0hymGWlX6Jom+BgAAlp16MXhBodNVGZXgn9nKOFyaw==" saltValue="nZr8inAamtZTdkwtQ/owYQ==" spinCount="100000" sheet="1" objects="1" scenarios="1"/>
  <mergeCells count="2">
    <mergeCell ref="A1:R1"/>
    <mergeCell ref="A2:R2"/>
  </mergeCells>
  <dataValidations count="2">
    <dataValidation type="list" sqref="M4:M21" xr:uid="{00000000-0002-0000-0900-000000000000}">
      <formula1>"Cash,POS,Hotel Charge,Complimentary"</formula1>
      <formula2>0</formula2>
    </dataValidation>
    <dataValidation type="list" sqref="Q4:Q21" xr:uid="{00000000-0002-0000-0900-000001000000}">
      <formula1>"Deposited,POS Settlement,Pending,Disputed"</formula1>
      <formula2>0</formula2>
    </dataValidation>
  </dataValidations>
  <hyperlinks>
    <hyperlink ref="T1" location="DMC_NAVIGATION!A1" display="🏠 Back to Home" xr:uid="{00000000-0004-0000-09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L10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50" style="2" customWidth="1"/>
    <col min="2" max="2" width="12" style="2" customWidth="1"/>
    <col min="3" max="3" width="15" style="2" customWidth="1"/>
    <col min="4" max="4" width="26" style="2" customWidth="1"/>
    <col min="5" max="5" width="16" style="2" customWidth="1"/>
    <col min="6" max="6" width="25" style="2" customWidth="1"/>
    <col min="7" max="7" width="23" style="2" customWidth="1"/>
    <col min="8" max="8" width="31" style="2" customWidth="1"/>
    <col min="9" max="9" width="14" style="2" customWidth="1"/>
    <col min="10" max="10" width="12" style="2" customWidth="1"/>
    <col min="11" max="11" width="8.6328125" style="2"/>
    <col min="12" max="12" width="18" style="2" customWidth="1"/>
    <col min="13" max="16384" width="8.6328125" style="2"/>
  </cols>
  <sheetData>
    <row r="1" spans="1:12" ht="25.5" customHeight="1" x14ac:dyDescent="0.35">
      <c r="A1" s="26" t="s">
        <v>627</v>
      </c>
      <c r="B1" s="26"/>
      <c r="C1" s="26"/>
      <c r="D1" s="26"/>
      <c r="E1" s="26"/>
      <c r="F1" s="26"/>
      <c r="G1" s="26"/>
      <c r="H1" s="26"/>
      <c r="I1" s="26"/>
      <c r="J1" s="26"/>
      <c r="L1" s="20" t="s">
        <v>88</v>
      </c>
    </row>
    <row r="2" spans="1:12" ht="19.5" customHeight="1" x14ac:dyDescent="0.35">
      <c r="A2" s="29" t="s">
        <v>628</v>
      </c>
      <c r="B2" s="29"/>
      <c r="C2" s="29"/>
      <c r="D2" s="29"/>
      <c r="E2" s="29"/>
      <c r="F2" s="29"/>
      <c r="G2" s="29"/>
      <c r="H2" s="29"/>
      <c r="I2" s="29"/>
      <c r="J2" s="29"/>
    </row>
    <row r="3" spans="1:12" ht="31.5" customHeight="1" x14ac:dyDescent="0.35">
      <c r="A3" s="30" t="s">
        <v>629</v>
      </c>
      <c r="B3" s="30" t="s">
        <v>472</v>
      </c>
      <c r="C3" s="30" t="s">
        <v>630</v>
      </c>
      <c r="D3" s="30" t="s">
        <v>631</v>
      </c>
      <c r="E3" s="30" t="s">
        <v>632</v>
      </c>
      <c r="F3" s="30" t="s">
        <v>633</v>
      </c>
      <c r="G3" s="30" t="s">
        <v>634</v>
      </c>
      <c r="H3" s="30" t="s">
        <v>635</v>
      </c>
      <c r="I3" s="30" t="s">
        <v>636</v>
      </c>
      <c r="J3" s="30" t="s">
        <v>7</v>
      </c>
    </row>
    <row r="4" spans="1:12" ht="18" customHeight="1" x14ac:dyDescent="0.35">
      <c r="A4" s="2" t="s">
        <v>637</v>
      </c>
      <c r="B4" s="2" t="s">
        <v>482</v>
      </c>
      <c r="C4" s="2" t="s">
        <v>204</v>
      </c>
      <c r="D4" s="2">
        <v>7607.4</v>
      </c>
      <c r="E4" s="2">
        <v>2208.6</v>
      </c>
      <c r="F4" s="2">
        <v>1074.8499999999999</v>
      </c>
      <c r="G4" s="37">
        <f t="shared" ref="G4:G10" si="0">D4+E4-F4</f>
        <v>8741.15</v>
      </c>
      <c r="H4" s="2">
        <v>8920</v>
      </c>
      <c r="I4" s="37">
        <f t="shared" ref="I4:I10" si="1">H4-G4</f>
        <v>178.85000000000036</v>
      </c>
      <c r="J4" s="2" t="s">
        <v>638</v>
      </c>
    </row>
    <row r="5" spans="1:12" ht="18" customHeight="1" x14ac:dyDescent="0.35">
      <c r="A5" s="2" t="s">
        <v>639</v>
      </c>
      <c r="B5" s="2" t="s">
        <v>486</v>
      </c>
      <c r="C5" s="2" t="s">
        <v>204</v>
      </c>
      <c r="D5" s="2">
        <v>4908</v>
      </c>
      <c r="E5" s="2">
        <v>4662.6000000000004</v>
      </c>
      <c r="F5" s="2">
        <v>1050.31</v>
      </c>
      <c r="G5" s="37">
        <f t="shared" si="0"/>
        <v>8520.2900000000009</v>
      </c>
      <c r="H5" s="2">
        <v>8520.2900000000009</v>
      </c>
      <c r="I5" s="37">
        <f t="shared" si="1"/>
        <v>0</v>
      </c>
      <c r="J5" s="2" t="s">
        <v>640</v>
      </c>
    </row>
    <row r="6" spans="1:12" ht="18" customHeight="1" x14ac:dyDescent="0.35">
      <c r="A6" s="2" t="s">
        <v>641</v>
      </c>
      <c r="B6" s="2" t="s">
        <v>489</v>
      </c>
      <c r="C6" s="2" t="s">
        <v>204</v>
      </c>
      <c r="D6" s="2">
        <v>2486</v>
      </c>
      <c r="E6" s="2">
        <v>4972</v>
      </c>
      <c r="F6" s="2">
        <v>845.24</v>
      </c>
      <c r="G6" s="37">
        <f t="shared" si="0"/>
        <v>6612.76</v>
      </c>
      <c r="H6" s="2">
        <v>6612.76</v>
      </c>
      <c r="I6" s="37">
        <f t="shared" si="1"/>
        <v>0</v>
      </c>
      <c r="J6" s="2" t="s">
        <v>640</v>
      </c>
    </row>
    <row r="7" spans="1:12" ht="18" customHeight="1" x14ac:dyDescent="0.35">
      <c r="A7" s="2" t="s">
        <v>642</v>
      </c>
      <c r="B7" s="2" t="s">
        <v>492</v>
      </c>
      <c r="C7" s="2" t="s">
        <v>204</v>
      </c>
      <c r="D7" s="2">
        <v>2934.25</v>
      </c>
      <c r="E7" s="2">
        <v>2667.5</v>
      </c>
      <c r="F7" s="2">
        <v>560.17999999999995</v>
      </c>
      <c r="G7" s="37">
        <f t="shared" si="0"/>
        <v>5041.57</v>
      </c>
      <c r="H7" s="2">
        <v>5041.57</v>
      </c>
      <c r="I7" s="37">
        <f t="shared" si="1"/>
        <v>0</v>
      </c>
      <c r="J7" s="2" t="s">
        <v>640</v>
      </c>
    </row>
    <row r="8" spans="1:12" ht="18" customHeight="1" x14ac:dyDescent="0.35">
      <c r="A8" s="2" t="s">
        <v>643</v>
      </c>
      <c r="B8" s="2" t="s">
        <v>499</v>
      </c>
      <c r="C8" s="2" t="s">
        <v>209</v>
      </c>
      <c r="D8" s="2">
        <v>7808.25</v>
      </c>
      <c r="E8" s="2">
        <v>3769.5</v>
      </c>
      <c r="F8" s="2">
        <v>1200.8599999999999</v>
      </c>
      <c r="G8" s="37">
        <f t="shared" si="0"/>
        <v>10376.89</v>
      </c>
      <c r="H8" s="2">
        <v>10600</v>
      </c>
      <c r="I8" s="37">
        <f t="shared" si="1"/>
        <v>223.11000000000058</v>
      </c>
      <c r="J8" s="2" t="s">
        <v>638</v>
      </c>
    </row>
    <row r="9" spans="1:12" ht="18" customHeight="1" x14ac:dyDescent="0.35">
      <c r="A9" s="2" t="s">
        <v>644</v>
      </c>
      <c r="B9" s="2" t="s">
        <v>502</v>
      </c>
      <c r="C9" s="2" t="s">
        <v>210</v>
      </c>
      <c r="D9" s="2">
        <v>4312</v>
      </c>
      <c r="E9" s="2">
        <v>3503.5</v>
      </c>
      <c r="F9" s="2">
        <v>749.21</v>
      </c>
      <c r="G9" s="37">
        <f t="shared" si="0"/>
        <v>7066.29</v>
      </c>
      <c r="H9" s="2">
        <v>7066.29</v>
      </c>
      <c r="I9" s="37">
        <f t="shared" si="1"/>
        <v>0</v>
      </c>
      <c r="J9" s="2" t="s">
        <v>640</v>
      </c>
    </row>
    <row r="10" spans="1:12" ht="18" customHeight="1" x14ac:dyDescent="0.35">
      <c r="A10" s="2" t="s">
        <v>645</v>
      </c>
      <c r="B10" s="2" t="s">
        <v>505</v>
      </c>
      <c r="C10" s="2" t="s">
        <v>211</v>
      </c>
      <c r="D10" s="2">
        <v>2500</v>
      </c>
      <c r="E10" s="2">
        <v>1200</v>
      </c>
      <c r="F10" s="2">
        <v>300</v>
      </c>
      <c r="G10" s="37">
        <f t="shared" si="0"/>
        <v>3400</v>
      </c>
      <c r="H10" s="2">
        <v>3400</v>
      </c>
      <c r="I10" s="37">
        <f t="shared" si="1"/>
        <v>0</v>
      </c>
      <c r="J10" s="2" t="s">
        <v>640</v>
      </c>
    </row>
  </sheetData>
  <sheetProtection algorithmName="SHA-512" hashValue="f/qSeSNSbKJIY0VQBMhYWtMssP2vrs5ed1WBkIHFdhHc4slJME+kkghySjz7yQ9sYKHDh0AS8JOq4cUfm9Ikgw==" saltValue="7Ipt6DJqelcG1Gmmyd9rcQ==" spinCount="100000" sheet="1" objects="1" scenarios="1"/>
  <mergeCells count="2">
    <mergeCell ref="A1:J1"/>
    <mergeCell ref="A2:J2"/>
  </mergeCells>
  <dataValidations count="1">
    <dataValidation type="list" sqref="J4:J10" xr:uid="{00000000-0002-0000-0A00-000000000000}">
      <formula1>"Reconciled,Exception,Closed,Pending Review"</formula1>
      <formula2>0</formula2>
    </dataValidation>
  </dataValidations>
  <hyperlinks>
    <hyperlink ref="L1" location="DMC_NAVIGATION!A1" display="🏠 Back to Home" xr:uid="{00000000-0004-0000-0A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Q11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50" style="2" customWidth="1"/>
    <col min="2" max="2" width="13" style="2" customWidth="1"/>
    <col min="3" max="3" width="27" style="2" customWidth="1"/>
    <col min="4" max="5" width="14" style="2" customWidth="1"/>
    <col min="6" max="6" width="12" style="2" customWidth="1"/>
    <col min="7" max="7" width="15" style="2" customWidth="1"/>
    <col min="8" max="8" width="10" style="2" customWidth="1"/>
    <col min="9" max="9" width="11" style="2" customWidth="1"/>
    <col min="10" max="10" width="10" style="2" customWidth="1"/>
    <col min="11" max="11" width="12" style="2" customWidth="1"/>
    <col min="12" max="12" width="16" style="2" customWidth="1"/>
    <col min="13" max="13" width="12" style="2" customWidth="1"/>
    <col min="14" max="14" width="9" style="2" customWidth="1"/>
    <col min="15" max="15" width="8.6328125" style="2"/>
    <col min="16" max="16" width="18" style="2" customWidth="1"/>
    <col min="17" max="16384" width="8.6328125" style="2"/>
  </cols>
  <sheetData>
    <row r="1" spans="1:17" ht="25.5" customHeight="1" x14ac:dyDescent="0.35">
      <c r="A1" s="26" t="s">
        <v>646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P1" s="20" t="s">
        <v>88</v>
      </c>
      <c r="Q1" s="40"/>
    </row>
    <row r="2" spans="1:17" ht="19.5" customHeight="1" x14ac:dyDescent="0.35">
      <c r="A2" s="29" t="s">
        <v>647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7" ht="31.5" customHeight="1" x14ac:dyDescent="0.35">
      <c r="A3" s="30" t="s">
        <v>648</v>
      </c>
      <c r="B3" s="30" t="s">
        <v>245</v>
      </c>
      <c r="C3" s="30" t="s">
        <v>246</v>
      </c>
      <c r="D3" s="30" t="s">
        <v>649</v>
      </c>
      <c r="E3" s="30" t="s">
        <v>650</v>
      </c>
      <c r="F3" s="30" t="s">
        <v>651</v>
      </c>
      <c r="G3" s="30" t="s">
        <v>510</v>
      </c>
      <c r="H3" s="30" t="s">
        <v>253</v>
      </c>
      <c r="I3" s="30" t="s">
        <v>652</v>
      </c>
      <c r="J3" s="30" t="s">
        <v>551</v>
      </c>
      <c r="K3" s="30" t="s">
        <v>653</v>
      </c>
      <c r="L3" s="30" t="s">
        <v>654</v>
      </c>
      <c r="M3" s="30" t="s">
        <v>519</v>
      </c>
      <c r="N3" s="30" t="s">
        <v>7</v>
      </c>
    </row>
    <row r="4" spans="1:17" ht="18" customHeight="1" x14ac:dyDescent="0.35">
      <c r="A4" s="2" t="s">
        <v>655</v>
      </c>
      <c r="B4" s="37" t="str">
        <f>IFERROR(INDEX(TB_Hotels_Master!$O$4:$O$1000,MATCH(INDEX(TB_Hotel_Accruals!$C$4:$C$1000,MATCH(G4,TB_Hotel_Accruals!$B$4:$B$1000,0)),TB_Hotels_Master!$A$4:$A$1000,0)),"")</f>
        <v>SUP-HTL-001</v>
      </c>
      <c r="C4" s="37" t="str">
        <f>IF(B4="","",IFERROR(INDEX(TB_Suppliers_Master!$B$4:$B$1000,MATCH(B4,TB_Suppliers_Master!$A$4:$A$1000,0)),"INVALID SUPPLIER ID"))</f>
        <v>Steigenberger Aldau Beach</v>
      </c>
      <c r="D4" s="2" t="s">
        <v>354</v>
      </c>
      <c r="E4" s="2" t="s">
        <v>205</v>
      </c>
      <c r="F4" s="2" t="s">
        <v>235</v>
      </c>
      <c r="G4" s="2" t="s">
        <v>521</v>
      </c>
      <c r="H4" s="2" t="s">
        <v>313</v>
      </c>
      <c r="I4" s="37">
        <f>IFERROR(INDEX(TB_Hotel_Accruals!$G$4:$G$1000,MATCH(G4,TB_Hotel_Accruals!$B$4:$B$1000,0)),0)</f>
        <v>100800</v>
      </c>
      <c r="J4" s="2">
        <v>53.35</v>
      </c>
      <c r="K4" s="37">
        <f t="shared" ref="K4:K11" si="0">M4/1.14</f>
        <v>4717263.1578947371</v>
      </c>
      <c r="L4" s="37">
        <f t="shared" ref="L4:L11" si="1">M4-K4</f>
        <v>660416.84210526291</v>
      </c>
      <c r="M4" s="37">
        <f t="shared" ref="M4:M11" si="2">I4*J4</f>
        <v>5377680</v>
      </c>
      <c r="N4" s="2" t="s">
        <v>620</v>
      </c>
    </row>
    <row r="5" spans="1:17" ht="18" customHeight="1" x14ac:dyDescent="0.35">
      <c r="A5" s="2" t="s">
        <v>656</v>
      </c>
      <c r="B5" s="37" t="str">
        <f>IFERROR(INDEX(TB_Hotels_Master!$O$4:$O$1000,MATCH(INDEX(TB_Hotel_Accruals!$C$4:$C$1000,MATCH(G5,TB_Hotel_Accruals!$B$4:$B$1000,0)),TB_Hotels_Master!$A$4:$A$1000,0)),"")</f>
        <v>SUP-HTL-002</v>
      </c>
      <c r="C5" s="37" t="str">
        <f>IF(B5="","",IFERROR(INDEX(TB_Suppliers_Master!$B$4:$B$1000,MATCH(B5,TB_Suppliers_Master!$A$4:$A$1000,0)),"INVALID SUPPLIER ID"))</f>
        <v>Jaz Aquamarine Resort</v>
      </c>
      <c r="D5" s="2" t="s">
        <v>354</v>
      </c>
      <c r="E5" s="2" t="s">
        <v>206</v>
      </c>
      <c r="F5" s="2" t="s">
        <v>236</v>
      </c>
      <c r="G5" s="2" t="s">
        <v>524</v>
      </c>
      <c r="H5" s="2" t="s">
        <v>277</v>
      </c>
      <c r="I5" s="37">
        <f>IFERROR(INDEX(TB_Hotel_Accruals!$G$4:$G$1000,MATCH(G5,TB_Hotel_Accruals!$B$4:$B$1000,0)),0)</f>
        <v>20475</v>
      </c>
      <c r="J5" s="2">
        <v>49.12</v>
      </c>
      <c r="K5" s="37">
        <f t="shared" si="0"/>
        <v>882221.05263157899</v>
      </c>
      <c r="L5" s="37">
        <f t="shared" si="1"/>
        <v>123510.94736842101</v>
      </c>
      <c r="M5" s="37">
        <f t="shared" si="2"/>
        <v>1005732</v>
      </c>
      <c r="N5" s="2" t="s">
        <v>620</v>
      </c>
    </row>
    <row r="6" spans="1:17" ht="18" customHeight="1" x14ac:dyDescent="0.35">
      <c r="A6" s="2" t="s">
        <v>657</v>
      </c>
      <c r="B6" s="37" t="str">
        <f>IFERROR(INDEX(TB_Hotels_Master!$O$4:$O$1000,MATCH(INDEX(TB_Hotel_Accruals!$C$4:$C$1000,MATCH(G6,TB_Hotel_Accruals!$B$4:$B$1000,0)),TB_Hotels_Master!$A$4:$A$1000,0)),"")</f>
        <v>SUP-HTL-003</v>
      </c>
      <c r="C6" s="37" t="str">
        <f>IF(B6="","",IFERROR(INDEX(TB_Suppliers_Master!$B$4:$B$1000,MATCH(B6,TB_Suppliers_Master!$A$4:$A$1000,0)),"INVALID SUPPLIER ID"))</f>
        <v>Sunrise Grand Select</v>
      </c>
      <c r="D6" s="2" t="s">
        <v>354</v>
      </c>
      <c r="E6" s="2" t="s">
        <v>215</v>
      </c>
      <c r="F6" s="2" t="s">
        <v>658</v>
      </c>
      <c r="G6" s="2" t="s">
        <v>526</v>
      </c>
      <c r="H6" s="2" t="s">
        <v>409</v>
      </c>
      <c r="I6" s="37">
        <f>IFERROR(INDEX(TB_Hotel_Accruals!$G$4:$G$1000,MATCH(G6,TB_Hotel_Accruals!$B$4:$B$1000,0)),0)</f>
        <v>13020</v>
      </c>
      <c r="J6" s="2">
        <v>62.3</v>
      </c>
      <c r="K6" s="37">
        <f t="shared" si="0"/>
        <v>711531.57894736843</v>
      </c>
      <c r="L6" s="37">
        <f t="shared" si="1"/>
        <v>99614.421052631573</v>
      </c>
      <c r="M6" s="37">
        <f t="shared" si="2"/>
        <v>811146</v>
      </c>
      <c r="N6" s="2" t="s">
        <v>620</v>
      </c>
    </row>
    <row r="7" spans="1:17" ht="18" customHeight="1" x14ac:dyDescent="0.35">
      <c r="A7" s="2" t="s">
        <v>659</v>
      </c>
      <c r="B7" s="37" t="str">
        <f>IFERROR(INDEX(TB_Hotels_Master!$O$4:$O$1000,MATCH(INDEX(TB_Hotel_Accruals!$C$4:$C$1000,MATCH(G7,TB_Hotel_Accruals!$B$4:$B$1000,0)),TB_Hotels_Master!$A$4:$A$1000,0)),"")</f>
        <v>SUP-HTL-004</v>
      </c>
      <c r="C7" s="37" t="str">
        <f>IF(B7="","",IFERROR(INDEX(TB_Suppliers_Master!$B$4:$B$1000,MATCH(B7,TB_Suppliers_Master!$A$4:$A$1000,0)),"INVALID SUPPLIER ID"))</f>
        <v>Sun &amp; Sea Beach Resort</v>
      </c>
      <c r="D7" s="2" t="s">
        <v>354</v>
      </c>
      <c r="E7" s="2" t="s">
        <v>221</v>
      </c>
      <c r="F7" s="2" t="s">
        <v>660</v>
      </c>
      <c r="G7" s="2" t="s">
        <v>535</v>
      </c>
      <c r="H7" s="2" t="s">
        <v>313</v>
      </c>
      <c r="I7" s="37">
        <f>IFERROR(INDEX(TB_Hotel_Accruals!$G$4:$G$1000,MATCH(G7,TB_Hotel_Accruals!$B$4:$B$1000,0)),0)</f>
        <v>106400</v>
      </c>
      <c r="J7" s="2">
        <v>54.2</v>
      </c>
      <c r="K7" s="37">
        <f t="shared" si="0"/>
        <v>5058666.666666667</v>
      </c>
      <c r="L7" s="37">
        <f t="shared" si="1"/>
        <v>708213.33333333302</v>
      </c>
      <c r="M7" s="37">
        <f t="shared" si="2"/>
        <v>5766880</v>
      </c>
      <c r="N7" s="2" t="s">
        <v>620</v>
      </c>
    </row>
    <row r="8" spans="1:17" ht="18" customHeight="1" x14ac:dyDescent="0.35">
      <c r="A8" s="2" t="s">
        <v>661</v>
      </c>
      <c r="B8" s="37" t="str">
        <f>IFERROR(INDEX(TB_Hotels_Master!$O$4:$O$1000,MATCH(INDEX(TB_Hotel_Accruals!$C$4:$C$1000,MATCH(G8,TB_Hotel_Accruals!$B$4:$B$1000,0)),TB_Hotels_Master!$A$4:$A$1000,0)),"")</f>
        <v>SUP-HTL-005</v>
      </c>
      <c r="C8" s="37" t="str">
        <f>IF(B8="","",IFERROR(INDEX(TB_Suppliers_Master!$B$4:$B$1000,MATCH(B8,TB_Suppliers_Master!$A$4:$A$1000,0)),"INVALID SUPPLIER ID"))</f>
        <v>Coral Hills Resort</v>
      </c>
      <c r="D8" s="2" t="s">
        <v>354</v>
      </c>
      <c r="E8" s="2" t="s">
        <v>221</v>
      </c>
      <c r="F8" s="2" t="s">
        <v>660</v>
      </c>
      <c r="G8" s="2" t="s">
        <v>538</v>
      </c>
      <c r="H8" s="2" t="s">
        <v>277</v>
      </c>
      <c r="I8" s="37">
        <f>IFERROR(INDEX(TB_Hotel_Accruals!$G$4:$G$1000,MATCH(G8,TB_Hotel_Accruals!$B$4:$B$1000,0)),0)</f>
        <v>19320</v>
      </c>
      <c r="J8" s="2">
        <v>49.3</v>
      </c>
      <c r="K8" s="37">
        <f t="shared" si="0"/>
        <v>835505.26315789483</v>
      </c>
      <c r="L8" s="37">
        <f t="shared" si="1"/>
        <v>116970.73684210517</v>
      </c>
      <c r="M8" s="37">
        <f t="shared" si="2"/>
        <v>952476</v>
      </c>
      <c r="N8" s="2" t="s">
        <v>620</v>
      </c>
    </row>
    <row r="9" spans="1:17" ht="18" customHeight="1" x14ac:dyDescent="0.35">
      <c r="A9" s="2" t="s">
        <v>662</v>
      </c>
      <c r="B9" s="37" t="str">
        <f>IFERROR(INDEX(TB_Hotels_Master!$O$4:$O$1000,MATCH(INDEX(TB_Hotel_Accruals!$C$4:$C$1000,MATCH(G9,TB_Hotel_Accruals!$B$4:$B$1000,0)),TB_Hotels_Master!$A$4:$A$1000,0)),"")</f>
        <v>SUP-HTL-006</v>
      </c>
      <c r="C9" s="37" t="str">
        <f>IF(B9="","",IFERROR(INDEX(TB_Suppliers_Master!$B$4:$B$1000,MATCH(B9,TB_Suppliers_Master!$A$4:$A$1000,0)),"INVALID SUPPLIER ID"))</f>
        <v>Blue Lagoon Palace</v>
      </c>
      <c r="D9" s="2" t="s">
        <v>354</v>
      </c>
      <c r="E9" s="2" t="s">
        <v>214</v>
      </c>
      <c r="F9" s="2" t="s">
        <v>663</v>
      </c>
      <c r="G9" s="2" t="s">
        <v>540</v>
      </c>
      <c r="H9" s="2" t="s">
        <v>409</v>
      </c>
      <c r="I9" s="37">
        <f>IFERROR(INDEX(TB_Hotel_Accruals!$G$4:$G$1000,MATCH(G9,TB_Hotel_Accruals!$B$4:$B$1000,0)),0)</f>
        <v>17408</v>
      </c>
      <c r="J9" s="2">
        <v>63.25</v>
      </c>
      <c r="K9" s="37">
        <f t="shared" si="0"/>
        <v>965838.59649122821</v>
      </c>
      <c r="L9" s="37">
        <f t="shared" si="1"/>
        <v>135217.40350877179</v>
      </c>
      <c r="M9" s="37">
        <f t="shared" si="2"/>
        <v>1101056</v>
      </c>
      <c r="N9" s="2" t="s">
        <v>620</v>
      </c>
    </row>
    <row r="10" spans="1:17" ht="18" customHeight="1" x14ac:dyDescent="0.35">
      <c r="A10" s="2" t="s">
        <v>664</v>
      </c>
      <c r="B10" s="37" t="str">
        <f>IFERROR(INDEX(TB_Hotels_Master!$O$4:$O$1000,MATCH(INDEX(TB_Hotel_Accruals!$C$4:$C$1000,MATCH(G10,TB_Hotel_Accruals!$B$4:$B$1000,0)),TB_Hotels_Master!$A$4:$A$1000,0)),"")</f>
        <v>SUP-HTL-007</v>
      </c>
      <c r="C10" s="37" t="str">
        <f>IF(B10="","",IFERROR(INDEX(TB_Suppliers_Master!$B$4:$B$1000,MATCH(B10,TB_Suppliers_Master!$A$4:$A$1000,0)),"INVALID SUPPLIER ID"))</f>
        <v>Desert Rose Plaza</v>
      </c>
      <c r="D10" s="2" t="s">
        <v>354</v>
      </c>
      <c r="E10" s="2" t="s">
        <v>221</v>
      </c>
      <c r="F10" s="2" t="s">
        <v>660</v>
      </c>
      <c r="G10" s="2" t="s">
        <v>542</v>
      </c>
      <c r="H10" s="2" t="s">
        <v>277</v>
      </c>
      <c r="I10" s="37">
        <f>IFERROR(INDEX(TB_Hotel_Accruals!$G$4:$G$1000,MATCH(G10,TB_Hotel_Accruals!$B$4:$B$1000,0)),0)</f>
        <v>33600</v>
      </c>
      <c r="J10" s="2">
        <v>49.3</v>
      </c>
      <c r="K10" s="37">
        <f t="shared" si="0"/>
        <v>1453052.6315789474</v>
      </c>
      <c r="L10" s="37">
        <f t="shared" si="1"/>
        <v>203427.36842105258</v>
      </c>
      <c r="M10" s="37">
        <f t="shared" si="2"/>
        <v>1656480</v>
      </c>
      <c r="N10" s="2" t="s">
        <v>620</v>
      </c>
    </row>
    <row r="11" spans="1:17" ht="18" customHeight="1" x14ac:dyDescent="0.35">
      <c r="A11" s="2" t="s">
        <v>665</v>
      </c>
      <c r="B11" s="37" t="str">
        <f>IFERROR(INDEX(TB_Hotels_Master!$O$4:$O$1000,MATCH(INDEX(TB_Hotel_Accruals!$C$4:$C$1000,MATCH(G11,TB_Hotel_Accruals!$B$4:$B$1000,0)),TB_Hotels_Master!$A$4:$A$1000,0)),"")</f>
        <v>SUP-HTL-008</v>
      </c>
      <c r="C11" s="37" t="str">
        <f>IF(B11="","",IFERROR(INDEX(TB_Suppliers_Master!$B$4:$B$1000,MATCH(B11,TB_Suppliers_Master!$A$4:$A$1000,0)),"INVALID SUPPLIER ID"))</f>
        <v>Seagull Beach Resort</v>
      </c>
      <c r="D11" s="2" t="s">
        <v>354</v>
      </c>
      <c r="E11" s="2" t="s">
        <v>222</v>
      </c>
      <c r="F11" s="2" t="s">
        <v>658</v>
      </c>
      <c r="G11" s="2" t="s">
        <v>544</v>
      </c>
      <c r="H11" s="2" t="s">
        <v>313</v>
      </c>
      <c r="I11" s="37">
        <f>IFERROR(INDEX(TB_Hotel_Accruals!$G$4:$G$1000,MATCH(G11,TB_Hotel_Accruals!$B$4:$B$1000,0)),0)</f>
        <v>30940</v>
      </c>
      <c r="J11" s="2">
        <v>54.4</v>
      </c>
      <c r="K11" s="37">
        <f t="shared" si="0"/>
        <v>1476435.0877192984</v>
      </c>
      <c r="L11" s="37">
        <f t="shared" si="1"/>
        <v>206700.91228070157</v>
      </c>
      <c r="M11" s="37">
        <f t="shared" si="2"/>
        <v>1683136</v>
      </c>
      <c r="N11" s="2" t="s">
        <v>620</v>
      </c>
    </row>
  </sheetData>
  <sheetProtection algorithmName="SHA-512" hashValue="pMfpdJ11V18LN8PHWN2XfrjbZfKEwCA09vO5xgU/h0Q4UBZDJzp/h7A+KyhMmHiF0E5a6S98rGCk0siSIgbHNw==" saltValue="G1D7qSWGllcfJFWFLV9Fiw==" spinCount="100000" sheet="1" objects="1" scenarios="1"/>
  <mergeCells count="2">
    <mergeCell ref="A1:N1"/>
    <mergeCell ref="A2:N2"/>
  </mergeCells>
  <dataValidations count="1">
    <dataValidation type="list" sqref="N4:N11" xr:uid="{00000000-0002-0000-0B00-000000000000}">
      <formula1>"Pending,Approved,Paid,Disputed,Cancelled"</formula1>
      <formula2>0</formula2>
    </dataValidation>
  </dataValidations>
  <hyperlinks>
    <hyperlink ref="P1" location="DMC_NAVIGATION!A1" display="🏠 Back to Home" xr:uid="{00000000-0004-0000-0B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Q8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40" style="2" customWidth="1"/>
    <col min="2" max="2" width="30" style="2" customWidth="1"/>
    <col min="3" max="3" width="16" style="2" customWidth="1"/>
    <col min="4" max="4" width="22" style="2" customWidth="1"/>
    <col min="5" max="5" width="13" style="2" customWidth="1"/>
    <col min="6" max="6" width="10" style="2" customWidth="1"/>
    <col min="7" max="7" width="23" style="2" customWidth="1"/>
    <col min="8" max="9" width="16" style="2" customWidth="1"/>
    <col min="10" max="11" width="20" style="2" customWidth="1"/>
    <col min="12" max="12" width="12" style="2" customWidth="1"/>
    <col min="13" max="13" width="15" style="2" customWidth="1"/>
    <col min="14" max="14" width="12" style="2" customWidth="1"/>
    <col min="15" max="15" width="40" style="2" customWidth="1"/>
    <col min="16" max="16" width="8.6328125" style="2"/>
    <col min="17" max="17" width="16" style="2" customWidth="1"/>
    <col min="18" max="16384" width="8.6328125" style="2"/>
  </cols>
  <sheetData>
    <row r="1" spans="1:17" ht="25.5" customHeight="1" x14ac:dyDescent="0.35">
      <c r="A1" s="32" t="s">
        <v>666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40"/>
      <c r="Q1" s="27" t="s">
        <v>88</v>
      </c>
    </row>
    <row r="2" spans="1:17" ht="19.5" customHeight="1" x14ac:dyDescent="0.35">
      <c r="A2" s="29" t="s">
        <v>667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7" ht="31.5" customHeight="1" x14ac:dyDescent="0.35">
      <c r="A3" s="33" t="s">
        <v>668</v>
      </c>
      <c r="B3" s="33" t="s">
        <v>669</v>
      </c>
      <c r="C3" s="33" t="s">
        <v>670</v>
      </c>
      <c r="D3" s="33" t="s">
        <v>671</v>
      </c>
      <c r="E3" s="33" t="s">
        <v>672</v>
      </c>
      <c r="F3" s="33" t="s">
        <v>551</v>
      </c>
      <c r="G3" s="33" t="s">
        <v>673</v>
      </c>
      <c r="H3" s="33" t="s">
        <v>674</v>
      </c>
      <c r="I3" s="33" t="s">
        <v>675</v>
      </c>
      <c r="J3" s="33" t="s">
        <v>676</v>
      </c>
      <c r="K3" s="33" t="s">
        <v>677</v>
      </c>
      <c r="L3" s="33" t="s">
        <v>7</v>
      </c>
      <c r="M3" s="33" t="s">
        <v>678</v>
      </c>
      <c r="N3" s="33" t="s">
        <v>679</v>
      </c>
      <c r="O3" s="33" t="s">
        <v>139</v>
      </c>
    </row>
    <row r="4" spans="1:17" ht="18" customHeight="1" x14ac:dyDescent="0.35">
      <c r="A4" s="9" t="s">
        <v>680</v>
      </c>
      <c r="B4" s="9" t="s">
        <v>681</v>
      </c>
      <c r="C4" s="9" t="s">
        <v>227</v>
      </c>
      <c r="D4" s="35">
        <v>26384.21</v>
      </c>
      <c r="E4" s="9" t="s">
        <v>277</v>
      </c>
      <c r="F4" s="35">
        <v>49.4</v>
      </c>
      <c r="G4" s="35">
        <v>1303380</v>
      </c>
      <c r="H4" s="35">
        <v>1302560</v>
      </c>
      <c r="I4" s="35">
        <v>820</v>
      </c>
      <c r="J4" s="35">
        <v>2</v>
      </c>
      <c r="K4" s="35">
        <v>1</v>
      </c>
      <c r="L4" s="9" t="s">
        <v>638</v>
      </c>
      <c r="M4" s="9" t="s">
        <v>682</v>
      </c>
      <c r="N4" s="9" t="s">
        <v>228</v>
      </c>
      <c r="O4" s="9" t="s">
        <v>683</v>
      </c>
    </row>
    <row r="5" spans="1:17" ht="18" customHeight="1" x14ac:dyDescent="0.35">
      <c r="A5" s="13" t="s">
        <v>684</v>
      </c>
      <c r="B5" s="13" t="s">
        <v>685</v>
      </c>
      <c r="C5" s="13" t="s">
        <v>227</v>
      </c>
      <c r="D5" s="36">
        <v>124532.71</v>
      </c>
      <c r="E5" s="13" t="s">
        <v>313</v>
      </c>
      <c r="F5" s="36">
        <v>53.4</v>
      </c>
      <c r="G5" s="36">
        <v>6650046.71</v>
      </c>
      <c r="H5" s="36">
        <v>6650000</v>
      </c>
      <c r="I5" s="36">
        <v>0</v>
      </c>
      <c r="J5" s="36">
        <v>0</v>
      </c>
      <c r="K5" s="36">
        <v>0</v>
      </c>
      <c r="L5" s="13" t="s">
        <v>640</v>
      </c>
      <c r="M5" s="13" t="s">
        <v>686</v>
      </c>
      <c r="N5" s="13" t="s">
        <v>228</v>
      </c>
      <c r="O5" s="13" t="s">
        <v>687</v>
      </c>
    </row>
    <row r="6" spans="1:17" ht="18" customHeight="1" x14ac:dyDescent="0.35">
      <c r="A6" s="9" t="s">
        <v>688</v>
      </c>
      <c r="B6" s="9" t="s">
        <v>681</v>
      </c>
      <c r="C6" s="9" t="s">
        <v>214</v>
      </c>
      <c r="D6" s="35">
        <v>26384.21</v>
      </c>
      <c r="E6" s="9" t="s">
        <v>277</v>
      </c>
      <c r="F6" s="35">
        <v>49.4</v>
      </c>
      <c r="G6" s="35">
        <v>1303380</v>
      </c>
      <c r="H6" s="35">
        <v>1302560</v>
      </c>
      <c r="I6" s="35">
        <v>820</v>
      </c>
      <c r="J6" s="35">
        <v>2</v>
      </c>
      <c r="K6" s="35">
        <v>1</v>
      </c>
      <c r="L6" s="9" t="s">
        <v>638</v>
      </c>
      <c r="M6" s="9" t="s">
        <v>682</v>
      </c>
      <c r="N6" s="9" t="s">
        <v>222</v>
      </c>
      <c r="O6" s="9" t="s">
        <v>689</v>
      </c>
    </row>
    <row r="7" spans="1:17" ht="18" customHeight="1" x14ac:dyDescent="0.35">
      <c r="A7" s="13" t="s">
        <v>690</v>
      </c>
      <c r="B7" s="13" t="s">
        <v>685</v>
      </c>
      <c r="C7" s="13" t="s">
        <v>214</v>
      </c>
      <c r="D7" s="36">
        <v>124532.71</v>
      </c>
      <c r="E7" s="13" t="s">
        <v>313</v>
      </c>
      <c r="F7" s="36">
        <v>53.4</v>
      </c>
      <c r="G7" s="36">
        <v>6650046.71</v>
      </c>
      <c r="H7" s="36">
        <v>6650000</v>
      </c>
      <c r="I7" s="36">
        <v>0</v>
      </c>
      <c r="J7" s="36">
        <v>0</v>
      </c>
      <c r="K7" s="36">
        <v>0</v>
      </c>
      <c r="L7" s="13" t="s">
        <v>640</v>
      </c>
      <c r="M7" s="13" t="s">
        <v>686</v>
      </c>
      <c r="N7" s="13" t="s">
        <v>222</v>
      </c>
      <c r="O7" s="13" t="s">
        <v>691</v>
      </c>
    </row>
    <row r="8" spans="1:17" ht="18" customHeight="1" x14ac:dyDescent="0.35">
      <c r="A8" s="9" t="s">
        <v>692</v>
      </c>
      <c r="B8" s="9" t="s">
        <v>681</v>
      </c>
      <c r="C8" s="9" t="s">
        <v>208</v>
      </c>
      <c r="D8" s="35">
        <v>15000</v>
      </c>
      <c r="E8" s="9" t="s">
        <v>277</v>
      </c>
      <c r="F8" s="35">
        <v>49.15</v>
      </c>
      <c r="G8" s="35">
        <v>737250</v>
      </c>
      <c r="H8" s="35">
        <v>737250</v>
      </c>
      <c r="I8" s="35">
        <v>0</v>
      </c>
      <c r="J8" s="35">
        <v>0</v>
      </c>
      <c r="K8" s="35">
        <v>0</v>
      </c>
      <c r="L8" s="9" t="s">
        <v>640</v>
      </c>
      <c r="M8" s="9" t="s">
        <v>682</v>
      </c>
      <c r="N8" s="9" t="s">
        <v>209</v>
      </c>
      <c r="O8" s="9" t="s">
        <v>693</v>
      </c>
    </row>
  </sheetData>
  <sheetProtection algorithmName="SHA-512" hashValue="trvtrLBOPiEf6pjWYXgQByjkw8w7ECqq8FZIUD5AgxIARhj96hplILzW+PJ/4I1/hVTPrsVdfm9KJl7zMUnYqw==" saltValue="9kAuMsgli8JYWnvgWbuTHA==" spinCount="100000" sheet="1" objects="1" scenarios="1"/>
  <mergeCells count="2">
    <mergeCell ref="A1:O1"/>
    <mergeCell ref="A2:O2"/>
  </mergeCells>
  <dataValidations count="2">
    <dataValidation type="list" sqref="L4:L100" xr:uid="{00000000-0002-0000-0C00-000000000000}">
      <formula1>"Reconciled,Exception,Pending,In Progress"</formula1>
      <formula2>0</formula2>
    </dataValidation>
    <dataValidation type="list" sqref="B4:B100" xr:uid="{00000000-0002-0000-0C00-000001000000}">
      <formula1>"Bank - FCY Operations (1001),Bank Account - EUR (1011),Main Safe - EGP (1000)"</formula1>
      <formula2>0</formula2>
    </dataValidation>
  </dataValidations>
  <hyperlinks>
    <hyperlink ref="Q1" location="DMC_NAVIGATION!A1" display="🏠 Back to Home" xr:uid="{00000000-0004-0000-0C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O100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40" style="2" customWidth="1"/>
    <col min="2" max="2" width="14" style="2" customWidth="1"/>
    <col min="3" max="3" width="37" style="2" customWidth="1"/>
    <col min="4" max="4" width="16" style="2" customWidth="1"/>
    <col min="5" max="6" width="12" style="2" customWidth="1"/>
    <col min="7" max="7" width="14" style="2" customWidth="1"/>
    <col min="8" max="8" width="22" style="2" customWidth="1"/>
    <col min="9" max="9" width="14" style="2" customWidth="1"/>
    <col min="10" max="11" width="16" style="2" customWidth="1"/>
    <col min="12" max="12" width="28" style="2" customWidth="1"/>
    <col min="13" max="13" width="40" style="2" customWidth="1"/>
    <col min="14" max="14" width="8.6328125" style="2"/>
    <col min="15" max="15" width="16" style="2" customWidth="1"/>
    <col min="16" max="16384" width="8.6328125" style="2"/>
  </cols>
  <sheetData>
    <row r="1" spans="1:15" ht="25.5" customHeight="1" x14ac:dyDescent="0.35">
      <c r="A1" s="32" t="s">
        <v>694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40"/>
      <c r="O1" s="27" t="s">
        <v>88</v>
      </c>
    </row>
    <row r="2" spans="1:15" ht="19.5" customHeight="1" x14ac:dyDescent="0.35">
      <c r="A2" s="29" t="s">
        <v>695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5" ht="31.5" customHeight="1" x14ac:dyDescent="0.35">
      <c r="A3" s="33" t="s">
        <v>696</v>
      </c>
      <c r="B3" s="33" t="s">
        <v>697</v>
      </c>
      <c r="C3" s="33" t="s">
        <v>698</v>
      </c>
      <c r="D3" s="33" t="s">
        <v>699</v>
      </c>
      <c r="E3" s="33" t="s">
        <v>700</v>
      </c>
      <c r="F3" s="33" t="s">
        <v>701</v>
      </c>
      <c r="G3" s="33" t="s">
        <v>636</v>
      </c>
      <c r="H3" s="33" t="s">
        <v>702</v>
      </c>
      <c r="I3" s="33" t="s">
        <v>7</v>
      </c>
      <c r="J3" s="33" t="s">
        <v>703</v>
      </c>
      <c r="K3" s="33" t="s">
        <v>704</v>
      </c>
      <c r="L3" s="33" t="s">
        <v>705</v>
      </c>
      <c r="M3" s="33" t="s">
        <v>139</v>
      </c>
    </row>
    <row r="4" spans="1:15" ht="18" customHeight="1" x14ac:dyDescent="0.35">
      <c r="A4" s="9" t="s">
        <v>706</v>
      </c>
      <c r="B4" s="9" t="s">
        <v>707</v>
      </c>
      <c r="C4" s="9" t="s">
        <v>708</v>
      </c>
      <c r="D4" s="9" t="s">
        <v>709</v>
      </c>
      <c r="E4" s="35">
        <v>8000000</v>
      </c>
      <c r="F4" s="35">
        <v>6615400</v>
      </c>
      <c r="G4" s="41">
        <f t="shared" ref="G4:G14" si="0">F4-E4</f>
        <v>-1384600</v>
      </c>
      <c r="H4" s="42">
        <f t="shared" ref="H4:H14" si="1">IF(E4=0,"N/A",G4/E4)</f>
        <v>-0.17307500000000001</v>
      </c>
      <c r="I4" s="43" t="str">
        <f t="shared" ref="I4:I14" si="2">IF(G4&gt;0,"Over Budget",IF(G4&lt;0,"Under Budget","On Target"))</f>
        <v>Under Budget</v>
      </c>
      <c r="J4" s="35">
        <v>8000000</v>
      </c>
      <c r="K4" s="35">
        <v>6615400</v>
      </c>
      <c r="L4" s="42">
        <f t="shared" ref="L4:L14" si="3">IF(J4=0,"N/A",(K4-J4)/J4)</f>
        <v>-0.17307500000000001</v>
      </c>
      <c r="M4" s="9" t="s">
        <v>710</v>
      </c>
    </row>
    <row r="5" spans="1:15" ht="18" customHeight="1" x14ac:dyDescent="0.35">
      <c r="A5" s="13" t="s">
        <v>706</v>
      </c>
      <c r="B5" s="13" t="s">
        <v>711</v>
      </c>
      <c r="C5" s="13" t="s">
        <v>712</v>
      </c>
      <c r="D5" s="13" t="s">
        <v>709</v>
      </c>
      <c r="E5" s="36">
        <v>8000</v>
      </c>
      <c r="F5" s="36">
        <v>4662.6000000000004</v>
      </c>
      <c r="G5" s="44">
        <f t="shared" si="0"/>
        <v>-3337.3999999999996</v>
      </c>
      <c r="H5" s="45">
        <f t="shared" si="1"/>
        <v>-0.41717499999999996</v>
      </c>
      <c r="I5" s="46" t="str">
        <f t="shared" si="2"/>
        <v>Under Budget</v>
      </c>
      <c r="J5" s="36">
        <v>8000</v>
      </c>
      <c r="K5" s="36">
        <v>4662.6000000000004</v>
      </c>
      <c r="L5" s="45">
        <f t="shared" si="3"/>
        <v>-0.41717499999999996</v>
      </c>
      <c r="M5" s="13" t="s">
        <v>713</v>
      </c>
    </row>
    <row r="6" spans="1:15" ht="18" customHeight="1" x14ac:dyDescent="0.35">
      <c r="A6" s="9" t="s">
        <v>706</v>
      </c>
      <c r="B6" s="9" t="s">
        <v>714</v>
      </c>
      <c r="C6" s="9" t="s">
        <v>715</v>
      </c>
      <c r="D6" s="9" t="s">
        <v>709</v>
      </c>
      <c r="E6" s="35">
        <v>3500000</v>
      </c>
      <c r="F6" s="35">
        <v>2995263.16</v>
      </c>
      <c r="G6" s="41">
        <f t="shared" si="0"/>
        <v>-504736.83999999985</v>
      </c>
      <c r="H6" s="42">
        <f t="shared" si="1"/>
        <v>-0.14421052571428566</v>
      </c>
      <c r="I6" s="43" t="str">
        <f t="shared" si="2"/>
        <v>Under Budget</v>
      </c>
      <c r="J6" s="35">
        <v>3500000</v>
      </c>
      <c r="K6" s="35">
        <v>2995263.16</v>
      </c>
      <c r="L6" s="42">
        <f t="shared" si="3"/>
        <v>-0.14421052571428566</v>
      </c>
      <c r="M6" s="9" t="s">
        <v>716</v>
      </c>
    </row>
    <row r="7" spans="1:15" ht="18" customHeight="1" x14ac:dyDescent="0.35">
      <c r="A7" s="13" t="s">
        <v>706</v>
      </c>
      <c r="B7" s="13" t="s">
        <v>717</v>
      </c>
      <c r="C7" s="13" t="s">
        <v>718</v>
      </c>
      <c r="D7" s="13" t="s">
        <v>709</v>
      </c>
      <c r="E7" s="36">
        <v>50000</v>
      </c>
      <c r="F7" s="36">
        <v>34600</v>
      </c>
      <c r="G7" s="44">
        <f t="shared" si="0"/>
        <v>-15400</v>
      </c>
      <c r="H7" s="45">
        <f t="shared" si="1"/>
        <v>-0.308</v>
      </c>
      <c r="I7" s="46" t="str">
        <f t="shared" si="2"/>
        <v>Under Budget</v>
      </c>
      <c r="J7" s="36">
        <v>50000</v>
      </c>
      <c r="K7" s="36">
        <v>34600</v>
      </c>
      <c r="L7" s="45">
        <f t="shared" si="3"/>
        <v>-0.308</v>
      </c>
      <c r="M7" s="13" t="s">
        <v>719</v>
      </c>
    </row>
    <row r="8" spans="1:15" ht="18" customHeight="1" x14ac:dyDescent="0.35">
      <c r="A8" s="9" t="s">
        <v>706</v>
      </c>
      <c r="B8" s="9" t="s">
        <v>720</v>
      </c>
      <c r="C8" s="9" t="s">
        <v>721</v>
      </c>
      <c r="D8" s="9" t="s">
        <v>722</v>
      </c>
      <c r="E8" s="35">
        <v>25000</v>
      </c>
      <c r="F8" s="35">
        <v>20273</v>
      </c>
      <c r="G8" s="41">
        <f t="shared" si="0"/>
        <v>-4727</v>
      </c>
      <c r="H8" s="42">
        <f t="shared" si="1"/>
        <v>-0.18908</v>
      </c>
      <c r="I8" s="43" t="str">
        <f t="shared" si="2"/>
        <v>Under Budget</v>
      </c>
      <c r="J8" s="35">
        <v>25000</v>
      </c>
      <c r="K8" s="35">
        <v>20273</v>
      </c>
      <c r="L8" s="42">
        <f t="shared" si="3"/>
        <v>-0.18908</v>
      </c>
      <c r="M8" s="9" t="s">
        <v>723</v>
      </c>
    </row>
    <row r="9" spans="1:15" ht="18" customHeight="1" x14ac:dyDescent="0.35">
      <c r="A9" s="13" t="s">
        <v>706</v>
      </c>
      <c r="B9" s="13" t="s">
        <v>724</v>
      </c>
      <c r="C9" s="13" t="s">
        <v>725</v>
      </c>
      <c r="D9" s="13" t="s">
        <v>722</v>
      </c>
      <c r="E9" s="36">
        <v>2500000</v>
      </c>
      <c r="F9" s="36">
        <v>2124640</v>
      </c>
      <c r="G9" s="44">
        <f t="shared" si="0"/>
        <v>-375360</v>
      </c>
      <c r="H9" s="45">
        <f t="shared" si="1"/>
        <v>-0.150144</v>
      </c>
      <c r="I9" s="46" t="str">
        <f t="shared" si="2"/>
        <v>Under Budget</v>
      </c>
      <c r="J9" s="36">
        <v>2500000</v>
      </c>
      <c r="K9" s="36">
        <v>2124640</v>
      </c>
      <c r="L9" s="45">
        <f t="shared" si="3"/>
        <v>-0.150144</v>
      </c>
      <c r="M9" s="13" t="s">
        <v>726</v>
      </c>
    </row>
    <row r="10" spans="1:15" ht="18" customHeight="1" x14ac:dyDescent="0.35">
      <c r="A10" s="9" t="s">
        <v>706</v>
      </c>
      <c r="B10" s="9" t="s">
        <v>727</v>
      </c>
      <c r="C10" s="9" t="s">
        <v>728</v>
      </c>
      <c r="D10" s="9" t="s">
        <v>722</v>
      </c>
      <c r="E10" s="35">
        <v>800</v>
      </c>
      <c r="F10" s="35">
        <v>559.51</v>
      </c>
      <c r="G10" s="41">
        <f t="shared" si="0"/>
        <v>-240.49</v>
      </c>
      <c r="H10" s="42">
        <f t="shared" si="1"/>
        <v>-0.3006125</v>
      </c>
      <c r="I10" s="43" t="str">
        <f t="shared" si="2"/>
        <v>Under Budget</v>
      </c>
      <c r="J10" s="35">
        <v>800</v>
      </c>
      <c r="K10" s="35">
        <v>559.51</v>
      </c>
      <c r="L10" s="42">
        <f t="shared" si="3"/>
        <v>-0.3006125</v>
      </c>
      <c r="M10" s="9" t="s">
        <v>729</v>
      </c>
    </row>
    <row r="11" spans="1:15" ht="18" customHeight="1" x14ac:dyDescent="0.35">
      <c r="A11" s="13" t="s">
        <v>706</v>
      </c>
      <c r="B11" s="13" t="s">
        <v>730</v>
      </c>
      <c r="C11" s="13" t="s">
        <v>731</v>
      </c>
      <c r="D11" s="13" t="s">
        <v>732</v>
      </c>
      <c r="E11" s="36">
        <v>0</v>
      </c>
      <c r="F11" s="36">
        <v>-12600</v>
      </c>
      <c r="G11" s="44">
        <f t="shared" si="0"/>
        <v>-12600</v>
      </c>
      <c r="H11" s="45" t="str">
        <f t="shared" si="1"/>
        <v>N/A</v>
      </c>
      <c r="I11" s="46" t="str">
        <f t="shared" si="2"/>
        <v>Under Budget</v>
      </c>
      <c r="J11" s="36">
        <v>0</v>
      </c>
      <c r="K11" s="36">
        <v>-12600</v>
      </c>
      <c r="L11" s="45" t="str">
        <f t="shared" si="3"/>
        <v>N/A</v>
      </c>
      <c r="M11" s="13" t="s">
        <v>733</v>
      </c>
    </row>
    <row r="12" spans="1:15" ht="18" customHeight="1" x14ac:dyDescent="0.35">
      <c r="A12" s="9" t="s">
        <v>706</v>
      </c>
      <c r="B12" s="9" t="s">
        <v>734</v>
      </c>
      <c r="C12" s="9" t="s">
        <v>735</v>
      </c>
      <c r="D12" s="9" t="s">
        <v>736</v>
      </c>
      <c r="E12" s="35">
        <v>420000</v>
      </c>
      <c r="F12" s="35">
        <v>419336.84</v>
      </c>
      <c r="G12" s="41">
        <f t="shared" si="0"/>
        <v>-663.15999999997439</v>
      </c>
      <c r="H12" s="42">
        <f t="shared" si="1"/>
        <v>-1.57895238095232E-3</v>
      </c>
      <c r="I12" s="43" t="str">
        <f t="shared" si="2"/>
        <v>Under Budget</v>
      </c>
      <c r="J12" s="35">
        <v>420000</v>
      </c>
      <c r="K12" s="35">
        <v>419336.84</v>
      </c>
      <c r="L12" s="42">
        <f t="shared" si="3"/>
        <v>-1.57895238095232E-3</v>
      </c>
      <c r="M12" s="9" t="s">
        <v>737</v>
      </c>
    </row>
    <row r="13" spans="1:15" ht="18" customHeight="1" x14ac:dyDescent="0.35">
      <c r="A13" s="13" t="s">
        <v>706</v>
      </c>
      <c r="B13" s="13" t="s">
        <v>738</v>
      </c>
      <c r="C13" s="13" t="s">
        <v>739</v>
      </c>
      <c r="D13" s="13" t="s">
        <v>736</v>
      </c>
      <c r="E13" s="36">
        <v>600</v>
      </c>
      <c r="F13" s="36">
        <v>559.51</v>
      </c>
      <c r="G13" s="44">
        <f t="shared" si="0"/>
        <v>-40.490000000000009</v>
      </c>
      <c r="H13" s="45">
        <f t="shared" si="1"/>
        <v>-6.7483333333333353E-2</v>
      </c>
      <c r="I13" s="46" t="str">
        <f t="shared" si="2"/>
        <v>Under Budget</v>
      </c>
      <c r="J13" s="36">
        <v>600</v>
      </c>
      <c r="K13" s="36">
        <v>559.51</v>
      </c>
      <c r="L13" s="45">
        <f t="shared" si="3"/>
        <v>-6.7483333333333353E-2</v>
      </c>
      <c r="M13" s="13" t="s">
        <v>740</v>
      </c>
    </row>
    <row r="14" spans="1:15" ht="18" customHeight="1" x14ac:dyDescent="0.35">
      <c r="A14" s="2" t="s">
        <v>706</v>
      </c>
      <c r="B14" s="2" t="s">
        <v>741</v>
      </c>
      <c r="C14" s="2" t="s">
        <v>742</v>
      </c>
      <c r="D14" s="2" t="s">
        <v>736</v>
      </c>
      <c r="E14" s="2">
        <v>0</v>
      </c>
      <c r="F14" s="2">
        <v>246574.47</v>
      </c>
      <c r="G14" s="37">
        <f t="shared" si="0"/>
        <v>246574.47</v>
      </c>
      <c r="H14" s="37" t="str">
        <f t="shared" si="1"/>
        <v>N/A</v>
      </c>
      <c r="I14" s="37" t="str">
        <f t="shared" si="2"/>
        <v>Over Budget</v>
      </c>
      <c r="J14" s="2">
        <v>0</v>
      </c>
      <c r="K14" s="2">
        <v>246574.47</v>
      </c>
      <c r="L14" s="37" t="str">
        <f t="shared" si="3"/>
        <v>N/A</v>
      </c>
      <c r="M14" s="2" t="s">
        <v>743</v>
      </c>
    </row>
    <row r="15" spans="1:15" ht="18" customHeight="1" x14ac:dyDescent="0.35"/>
    <row r="16" spans="1:15" ht="18" customHeight="1" x14ac:dyDescent="0.35"/>
    <row r="17" s="2" customFormat="1" ht="18" customHeight="1" x14ac:dyDescent="0.35"/>
    <row r="18" s="2" customFormat="1" ht="18" customHeight="1" x14ac:dyDescent="0.35"/>
    <row r="19" s="2" customFormat="1" ht="18" customHeight="1" x14ac:dyDescent="0.35"/>
    <row r="20" s="2" customFormat="1" ht="18" customHeight="1" x14ac:dyDescent="0.35"/>
    <row r="21" s="2" customFormat="1" ht="18" customHeight="1" x14ac:dyDescent="0.35"/>
    <row r="22" s="2" customFormat="1" ht="18" customHeight="1" x14ac:dyDescent="0.35"/>
    <row r="23" s="2" customFormat="1" ht="18" customHeight="1" x14ac:dyDescent="0.35"/>
    <row r="24" s="2" customFormat="1" ht="18" customHeight="1" x14ac:dyDescent="0.35"/>
    <row r="25" s="2" customFormat="1" ht="18" customHeight="1" x14ac:dyDescent="0.35"/>
    <row r="26" s="2" customFormat="1" ht="18" customHeight="1" x14ac:dyDescent="0.35"/>
    <row r="27" s="2" customFormat="1" ht="18" customHeight="1" x14ac:dyDescent="0.35"/>
    <row r="28" s="2" customFormat="1" ht="18" customHeight="1" x14ac:dyDescent="0.35"/>
    <row r="29" s="2" customFormat="1" ht="18" customHeight="1" x14ac:dyDescent="0.35"/>
    <row r="30" s="2" customFormat="1" ht="18" customHeight="1" x14ac:dyDescent="0.35"/>
    <row r="31" s="2" customFormat="1" ht="18" customHeight="1" x14ac:dyDescent="0.35"/>
    <row r="32" s="2" customFormat="1" ht="18" customHeight="1" x14ac:dyDescent="0.35"/>
    <row r="33" s="2" customFormat="1" ht="18" customHeight="1" x14ac:dyDescent="0.35"/>
    <row r="34" s="2" customFormat="1" ht="18" customHeight="1" x14ac:dyDescent="0.35"/>
    <row r="35" s="2" customFormat="1" ht="18" customHeight="1" x14ac:dyDescent="0.35"/>
    <row r="36" s="2" customFormat="1" ht="18" customHeight="1" x14ac:dyDescent="0.35"/>
    <row r="37" s="2" customFormat="1" ht="18" customHeight="1" x14ac:dyDescent="0.35"/>
    <row r="38" s="2" customFormat="1" ht="18" customHeight="1" x14ac:dyDescent="0.35"/>
    <row r="39" s="2" customFormat="1" ht="18" customHeight="1" x14ac:dyDescent="0.35"/>
    <row r="40" s="2" customFormat="1" ht="18" customHeight="1" x14ac:dyDescent="0.35"/>
    <row r="41" s="2" customFormat="1" ht="18" customHeight="1" x14ac:dyDescent="0.35"/>
    <row r="42" s="2" customFormat="1" ht="18" customHeight="1" x14ac:dyDescent="0.35"/>
    <row r="43" s="2" customFormat="1" ht="18" customHeight="1" x14ac:dyDescent="0.35"/>
    <row r="44" s="2" customFormat="1" ht="18" customHeight="1" x14ac:dyDescent="0.35"/>
    <row r="45" s="2" customFormat="1" ht="18" customHeight="1" x14ac:dyDescent="0.35"/>
    <row r="46" s="2" customFormat="1" ht="18" customHeight="1" x14ac:dyDescent="0.35"/>
    <row r="47" s="2" customFormat="1" ht="18" customHeight="1" x14ac:dyDescent="0.35"/>
    <row r="48" s="2" customFormat="1" ht="18" customHeight="1" x14ac:dyDescent="0.35"/>
    <row r="49" s="2" customFormat="1" ht="18" customHeight="1" x14ac:dyDescent="0.35"/>
    <row r="50" s="2" customFormat="1" ht="18" customHeight="1" x14ac:dyDescent="0.35"/>
    <row r="51" s="2" customFormat="1" ht="18" customHeight="1" x14ac:dyDescent="0.35"/>
    <row r="52" s="2" customFormat="1" ht="18" customHeight="1" x14ac:dyDescent="0.35"/>
    <row r="53" s="2" customFormat="1" ht="18" customHeight="1" x14ac:dyDescent="0.35"/>
    <row r="54" s="2" customFormat="1" ht="18" customHeight="1" x14ac:dyDescent="0.35"/>
    <row r="55" s="2" customFormat="1" ht="18" customHeight="1" x14ac:dyDescent="0.35"/>
    <row r="56" s="2" customFormat="1" ht="18" customHeight="1" x14ac:dyDescent="0.35"/>
    <row r="57" s="2" customFormat="1" ht="18" customHeight="1" x14ac:dyDescent="0.35"/>
    <row r="58" s="2" customFormat="1" ht="18" customHeight="1" x14ac:dyDescent="0.35"/>
    <row r="59" s="2" customFormat="1" ht="18" customHeight="1" x14ac:dyDescent="0.35"/>
    <row r="60" s="2" customFormat="1" ht="18" customHeight="1" x14ac:dyDescent="0.35"/>
    <row r="61" s="2" customFormat="1" ht="18" customHeight="1" x14ac:dyDescent="0.35"/>
    <row r="62" s="2" customFormat="1" ht="18" customHeight="1" x14ac:dyDescent="0.35"/>
    <row r="63" s="2" customFormat="1" ht="18" customHeight="1" x14ac:dyDescent="0.35"/>
    <row r="64" s="2" customFormat="1" ht="18" customHeight="1" x14ac:dyDescent="0.35"/>
    <row r="65" s="2" customFormat="1" ht="18" customHeight="1" x14ac:dyDescent="0.35"/>
    <row r="66" s="2" customFormat="1" ht="18" customHeight="1" x14ac:dyDescent="0.35"/>
    <row r="67" s="2" customFormat="1" ht="18" customHeight="1" x14ac:dyDescent="0.35"/>
    <row r="68" s="2" customFormat="1" ht="18" customHeight="1" x14ac:dyDescent="0.35"/>
    <row r="69" s="2" customFormat="1" ht="18" customHeight="1" x14ac:dyDescent="0.35"/>
    <row r="70" s="2" customFormat="1" ht="18" customHeight="1" x14ac:dyDescent="0.35"/>
    <row r="71" s="2" customFormat="1" ht="18" customHeight="1" x14ac:dyDescent="0.35"/>
    <row r="72" s="2" customFormat="1" ht="18" customHeight="1" x14ac:dyDescent="0.35"/>
    <row r="73" s="2" customFormat="1" ht="18" customHeight="1" x14ac:dyDescent="0.35"/>
    <row r="74" s="2" customFormat="1" ht="18" customHeight="1" x14ac:dyDescent="0.35"/>
    <row r="75" s="2" customFormat="1" ht="18" customHeight="1" x14ac:dyDescent="0.35"/>
    <row r="76" s="2" customFormat="1" ht="18" customHeight="1" x14ac:dyDescent="0.35"/>
    <row r="77" s="2" customFormat="1" ht="18" customHeight="1" x14ac:dyDescent="0.35"/>
    <row r="78" s="2" customFormat="1" ht="18" customHeight="1" x14ac:dyDescent="0.35"/>
    <row r="79" s="2" customFormat="1" ht="18" customHeight="1" x14ac:dyDescent="0.35"/>
    <row r="80" s="2" customFormat="1" ht="18" customHeight="1" x14ac:dyDescent="0.35"/>
    <row r="81" s="2" customFormat="1" ht="18" customHeight="1" x14ac:dyDescent="0.35"/>
    <row r="82" s="2" customFormat="1" ht="18" customHeight="1" x14ac:dyDescent="0.35"/>
    <row r="83" s="2" customFormat="1" ht="18" customHeight="1" x14ac:dyDescent="0.35"/>
    <row r="84" s="2" customFormat="1" ht="18" customHeight="1" x14ac:dyDescent="0.35"/>
    <row r="85" s="2" customFormat="1" ht="18" customHeight="1" x14ac:dyDescent="0.35"/>
    <row r="86" s="2" customFormat="1" ht="18" customHeight="1" x14ac:dyDescent="0.35"/>
    <row r="87" s="2" customFormat="1" ht="18" customHeight="1" x14ac:dyDescent="0.35"/>
    <row r="88" s="2" customFormat="1" ht="18" customHeight="1" x14ac:dyDescent="0.35"/>
    <row r="89" s="2" customFormat="1" ht="18" customHeight="1" x14ac:dyDescent="0.35"/>
    <row r="90" s="2" customFormat="1" ht="18" customHeight="1" x14ac:dyDescent="0.35"/>
    <row r="91" s="2" customFormat="1" ht="18" customHeight="1" x14ac:dyDescent="0.35"/>
    <row r="92" s="2" customFormat="1" ht="18" customHeight="1" x14ac:dyDescent="0.35"/>
    <row r="93" s="2" customFormat="1" ht="18" customHeight="1" x14ac:dyDescent="0.35"/>
    <row r="94" s="2" customFormat="1" ht="18" customHeight="1" x14ac:dyDescent="0.35"/>
    <row r="95" s="2" customFormat="1" ht="18" customHeight="1" x14ac:dyDescent="0.35"/>
    <row r="96" s="2" customFormat="1" ht="18" customHeight="1" x14ac:dyDescent="0.35"/>
    <row r="97" s="2" customFormat="1" ht="18" customHeight="1" x14ac:dyDescent="0.35"/>
    <row r="98" s="2" customFormat="1" ht="18" customHeight="1" x14ac:dyDescent="0.35"/>
    <row r="99" s="2" customFormat="1" ht="18" customHeight="1" x14ac:dyDescent="0.35"/>
    <row r="100" s="2" customFormat="1" ht="18" customHeight="1" x14ac:dyDescent="0.35"/>
  </sheetData>
  <sheetProtection algorithmName="SHA-512" hashValue="QmcFtIQ7ZhQ3IS++nKvJ6mJtjcG6l+4QzcVcD8FKbFUtM3uYsFCPWBrfScAf1jjGBUi4T0OdtX6J/efkywMKCw==" saltValue="0CzpckTbiP6eRLMykFq+2g==" spinCount="100000" sheet="1" objects="1" scenarios="1"/>
  <mergeCells count="2">
    <mergeCell ref="A1:M1"/>
    <mergeCell ref="A2:M2"/>
  </mergeCells>
  <dataValidations count="2">
    <dataValidation type="list" sqref="I4:I100" xr:uid="{00000000-0002-0000-0D00-000000000000}">
      <formula1>"Under Budget,Over Budget,On Target,N/A,Exception"</formula1>
      <formula2>0</formula2>
    </dataValidation>
    <dataValidation type="list" sqref="D4:D100" xr:uid="{00000000-0002-0000-0D00-000001000000}">
      <formula1>"Revenue,Expense,Asset,Liability,Equity"</formula1>
      <formula2>0</formula2>
    </dataValidation>
  </dataValidations>
  <hyperlinks>
    <hyperlink ref="O1" location="DMC_NAVIGATION!A1" display="🏠 Back to Home" xr:uid="{00000000-0004-0000-0D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N500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40" style="2" customWidth="1"/>
    <col min="2" max="2" width="21" style="2" customWidth="1"/>
    <col min="3" max="3" width="14" style="2" customWidth="1"/>
    <col min="4" max="4" width="24" style="2" customWidth="1"/>
    <col min="5" max="5" width="15" style="2" customWidth="1"/>
    <col min="6" max="6" width="13" style="2" customWidth="1"/>
    <col min="7" max="7" width="17" style="2" customWidth="1"/>
    <col min="8" max="8" width="11" style="2" customWidth="1"/>
    <col min="9" max="9" width="12" style="2" customWidth="1"/>
    <col min="10" max="10" width="13" style="2" customWidth="1"/>
    <col min="11" max="11" width="17" style="2" customWidth="1"/>
    <col min="12" max="12" width="34" style="2" customWidth="1"/>
    <col min="13" max="13" width="8.6328125" style="2"/>
    <col min="14" max="14" width="16" style="2" customWidth="1"/>
    <col min="15" max="16384" width="8.6328125" style="2"/>
  </cols>
  <sheetData>
    <row r="1" spans="1:14" ht="25.5" customHeight="1" x14ac:dyDescent="0.35">
      <c r="A1" s="32" t="s">
        <v>744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40"/>
      <c r="N1" s="27" t="s">
        <v>88</v>
      </c>
    </row>
    <row r="2" spans="1:14" ht="19.5" customHeight="1" x14ac:dyDescent="0.35">
      <c r="A2" s="29" t="s">
        <v>745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4" ht="15" customHeight="1" x14ac:dyDescent="0.35">
      <c r="A3" s="47" t="s">
        <v>746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1:14" ht="31.5" customHeight="1" x14ac:dyDescent="0.35">
      <c r="A4" s="33" t="s">
        <v>747</v>
      </c>
      <c r="B4" s="33" t="s">
        <v>748</v>
      </c>
      <c r="C4" s="33" t="s">
        <v>749</v>
      </c>
      <c r="D4" s="33" t="s">
        <v>750</v>
      </c>
      <c r="E4" s="33" t="s">
        <v>751</v>
      </c>
      <c r="F4" s="33" t="s">
        <v>752</v>
      </c>
      <c r="G4" s="33" t="s">
        <v>753</v>
      </c>
      <c r="H4" s="33" t="s">
        <v>754</v>
      </c>
      <c r="I4" s="33" t="s">
        <v>755</v>
      </c>
      <c r="J4" s="33" t="s">
        <v>756</v>
      </c>
      <c r="K4" s="33" t="s">
        <v>757</v>
      </c>
      <c r="L4" s="33" t="s">
        <v>139</v>
      </c>
    </row>
    <row r="5" spans="1:14" ht="18" customHeight="1" x14ac:dyDescent="0.35">
      <c r="A5" s="9" t="s">
        <v>758</v>
      </c>
      <c r="B5" s="9" t="s">
        <v>759</v>
      </c>
      <c r="C5" s="9" t="s">
        <v>760</v>
      </c>
      <c r="D5" s="9" t="s">
        <v>52</v>
      </c>
      <c r="E5" s="9" t="s">
        <v>761</v>
      </c>
      <c r="F5" s="9" t="s">
        <v>762</v>
      </c>
      <c r="G5" s="9" t="s">
        <v>763</v>
      </c>
      <c r="H5" s="9"/>
      <c r="I5" s="9" t="s">
        <v>764</v>
      </c>
      <c r="J5" s="9" t="s">
        <v>765</v>
      </c>
      <c r="K5" s="9" t="s">
        <v>766</v>
      </c>
      <c r="L5" s="9" t="s">
        <v>767</v>
      </c>
    </row>
    <row r="6" spans="1:14" ht="18" customHeight="1" x14ac:dyDescent="0.35">
      <c r="A6" s="13" t="s">
        <v>768</v>
      </c>
      <c r="B6" s="13" t="s">
        <v>759</v>
      </c>
      <c r="C6" s="13" t="s">
        <v>760</v>
      </c>
      <c r="D6" s="13" t="s">
        <v>52</v>
      </c>
      <c r="E6" s="13" t="s">
        <v>769</v>
      </c>
      <c r="F6" s="13" t="s">
        <v>762</v>
      </c>
      <c r="G6" s="13" t="s">
        <v>770</v>
      </c>
      <c r="H6" s="13"/>
      <c r="I6" s="13" t="s">
        <v>764</v>
      </c>
      <c r="J6" s="13" t="s">
        <v>765</v>
      </c>
      <c r="K6" s="13" t="s">
        <v>766</v>
      </c>
      <c r="L6" s="13" t="s">
        <v>771</v>
      </c>
    </row>
    <row r="7" spans="1:14" ht="18" customHeight="1" x14ac:dyDescent="0.35">
      <c r="A7" s="9" t="s">
        <v>772</v>
      </c>
      <c r="B7" s="9" t="s">
        <v>773</v>
      </c>
      <c r="C7" s="9" t="s">
        <v>774</v>
      </c>
      <c r="D7" s="9" t="s">
        <v>14</v>
      </c>
      <c r="E7" s="9" t="s">
        <v>775</v>
      </c>
      <c r="F7" s="9" t="s">
        <v>776</v>
      </c>
      <c r="G7" s="9" t="s">
        <v>190</v>
      </c>
      <c r="H7" s="9" t="s">
        <v>777</v>
      </c>
      <c r="I7" s="9" t="s">
        <v>778</v>
      </c>
      <c r="J7" s="9" t="s">
        <v>278</v>
      </c>
      <c r="K7" s="9" t="s">
        <v>779</v>
      </c>
      <c r="L7" s="9" t="s">
        <v>780</v>
      </c>
    </row>
    <row r="8" spans="1:14" ht="18" customHeight="1" x14ac:dyDescent="0.35">
      <c r="A8" s="13" t="s">
        <v>781</v>
      </c>
      <c r="B8" s="13" t="s">
        <v>782</v>
      </c>
      <c r="C8" s="13" t="s">
        <v>783</v>
      </c>
      <c r="D8" s="13" t="s">
        <v>45</v>
      </c>
      <c r="E8" s="13" t="s">
        <v>761</v>
      </c>
      <c r="F8" s="13" t="s">
        <v>762</v>
      </c>
      <c r="G8" s="13" t="s">
        <v>7</v>
      </c>
      <c r="H8" s="13"/>
      <c r="I8" s="13" t="s">
        <v>620</v>
      </c>
      <c r="J8" s="13" t="s">
        <v>659</v>
      </c>
      <c r="K8" s="13" t="s">
        <v>766</v>
      </c>
      <c r="L8" s="13" t="s">
        <v>784</v>
      </c>
    </row>
    <row r="9" spans="1:14" ht="18" customHeight="1" x14ac:dyDescent="0.35">
      <c r="A9" s="9" t="s">
        <v>785</v>
      </c>
      <c r="B9" s="9" t="s">
        <v>786</v>
      </c>
      <c r="C9" s="9" t="s">
        <v>783</v>
      </c>
      <c r="D9" s="9" t="s">
        <v>45</v>
      </c>
      <c r="E9" s="9" t="s">
        <v>761</v>
      </c>
      <c r="F9" s="9" t="s">
        <v>776</v>
      </c>
      <c r="G9" s="9" t="s">
        <v>7</v>
      </c>
      <c r="H9" s="9" t="s">
        <v>620</v>
      </c>
      <c r="I9" s="9" t="s">
        <v>779</v>
      </c>
      <c r="J9" s="9" t="s">
        <v>659</v>
      </c>
      <c r="K9" s="9" t="s">
        <v>779</v>
      </c>
      <c r="L9" s="9" t="s">
        <v>787</v>
      </c>
    </row>
    <row r="10" spans="1:14" ht="18" customHeight="1" x14ac:dyDescent="0.35">
      <c r="A10" s="13" t="s">
        <v>788</v>
      </c>
      <c r="B10" s="13" t="s">
        <v>789</v>
      </c>
      <c r="C10" s="13" t="s">
        <v>760</v>
      </c>
      <c r="D10" s="13" t="s">
        <v>52</v>
      </c>
      <c r="E10" s="13" t="s">
        <v>790</v>
      </c>
      <c r="F10" s="13" t="s">
        <v>762</v>
      </c>
      <c r="G10" s="13" t="s">
        <v>763</v>
      </c>
      <c r="H10" s="13"/>
      <c r="I10" s="13" t="s">
        <v>791</v>
      </c>
      <c r="J10" s="13" t="s">
        <v>792</v>
      </c>
      <c r="K10" s="13" t="s">
        <v>766</v>
      </c>
      <c r="L10" s="13" t="s">
        <v>793</v>
      </c>
    </row>
    <row r="11" spans="1:14" ht="18" customHeight="1" x14ac:dyDescent="0.35">
      <c r="A11" s="9" t="s">
        <v>794</v>
      </c>
      <c r="B11" s="9" t="s">
        <v>789</v>
      </c>
      <c r="C11" s="9" t="s">
        <v>760</v>
      </c>
      <c r="D11" s="9" t="s">
        <v>52</v>
      </c>
      <c r="E11" s="9" t="s">
        <v>795</v>
      </c>
      <c r="F11" s="9" t="s">
        <v>762</v>
      </c>
      <c r="G11" s="9" t="s">
        <v>770</v>
      </c>
      <c r="H11" s="9"/>
      <c r="I11" s="9" t="s">
        <v>791</v>
      </c>
      <c r="J11" s="9" t="s">
        <v>792</v>
      </c>
      <c r="K11" s="9" t="s">
        <v>766</v>
      </c>
      <c r="L11" s="9" t="s">
        <v>796</v>
      </c>
    </row>
    <row r="12" spans="1:14" ht="18" customHeight="1" x14ac:dyDescent="0.35">
      <c r="A12" s="13" t="s">
        <v>797</v>
      </c>
      <c r="B12" s="13" t="s">
        <v>798</v>
      </c>
      <c r="C12" s="13" t="s">
        <v>774</v>
      </c>
      <c r="D12" s="13" t="s">
        <v>48</v>
      </c>
      <c r="E12" s="13" t="s">
        <v>799</v>
      </c>
      <c r="F12" s="13" t="s">
        <v>776</v>
      </c>
      <c r="G12" s="13" t="s">
        <v>7</v>
      </c>
      <c r="H12" s="13" t="s">
        <v>620</v>
      </c>
      <c r="I12" s="13" t="s">
        <v>640</v>
      </c>
      <c r="J12" s="13" t="s">
        <v>684</v>
      </c>
      <c r="K12" s="13" t="s">
        <v>779</v>
      </c>
      <c r="L12" s="13" t="s">
        <v>800</v>
      </c>
    </row>
    <row r="13" spans="1:14" ht="18" customHeight="1" x14ac:dyDescent="0.35">
      <c r="A13" s="9" t="s">
        <v>801</v>
      </c>
      <c r="B13" s="9" t="s">
        <v>802</v>
      </c>
      <c r="C13" s="9" t="s">
        <v>803</v>
      </c>
      <c r="D13" s="9" t="s">
        <v>52</v>
      </c>
      <c r="E13" s="9" t="s">
        <v>769</v>
      </c>
      <c r="F13" s="9" t="s">
        <v>762</v>
      </c>
      <c r="G13" s="9" t="s">
        <v>697</v>
      </c>
      <c r="H13" s="9"/>
      <c r="I13" s="9" t="s">
        <v>804</v>
      </c>
      <c r="J13" s="9" t="s">
        <v>805</v>
      </c>
      <c r="K13" s="9" t="s">
        <v>766</v>
      </c>
      <c r="L13" s="9" t="s">
        <v>806</v>
      </c>
    </row>
    <row r="14" spans="1:14" ht="18" customHeight="1" x14ac:dyDescent="0.35">
      <c r="A14" s="13" t="s">
        <v>807</v>
      </c>
      <c r="B14" s="13" t="s">
        <v>802</v>
      </c>
      <c r="C14" s="13" t="s">
        <v>803</v>
      </c>
      <c r="D14" s="13" t="s">
        <v>52</v>
      </c>
      <c r="E14" s="13" t="s">
        <v>790</v>
      </c>
      <c r="F14" s="13" t="s">
        <v>762</v>
      </c>
      <c r="G14" s="13" t="s">
        <v>697</v>
      </c>
      <c r="H14" s="13"/>
      <c r="I14" s="13" t="s">
        <v>804</v>
      </c>
      <c r="J14" s="13" t="s">
        <v>808</v>
      </c>
      <c r="K14" s="13" t="s">
        <v>766</v>
      </c>
      <c r="L14" s="13" t="s">
        <v>806</v>
      </c>
    </row>
    <row r="15" spans="1:14" ht="18" customHeight="1" x14ac:dyDescent="0.35">
      <c r="A15" s="9" t="s">
        <v>809</v>
      </c>
      <c r="B15" s="9" t="s">
        <v>802</v>
      </c>
      <c r="C15" s="9" t="s">
        <v>803</v>
      </c>
      <c r="D15" s="9" t="s">
        <v>52</v>
      </c>
      <c r="E15" s="9" t="s">
        <v>810</v>
      </c>
      <c r="F15" s="9" t="s">
        <v>762</v>
      </c>
      <c r="G15" s="9" t="s">
        <v>697</v>
      </c>
      <c r="H15" s="9"/>
      <c r="I15" s="9" t="s">
        <v>811</v>
      </c>
      <c r="J15" s="9" t="s">
        <v>792</v>
      </c>
      <c r="K15" s="9" t="s">
        <v>766</v>
      </c>
      <c r="L15" s="9" t="s">
        <v>812</v>
      </c>
    </row>
    <row r="16" spans="1:14" ht="18" customHeight="1" x14ac:dyDescent="0.35">
      <c r="A16" s="13" t="s">
        <v>813</v>
      </c>
      <c r="B16" s="13" t="s">
        <v>802</v>
      </c>
      <c r="C16" s="13" t="s">
        <v>803</v>
      </c>
      <c r="D16" s="13" t="s">
        <v>52</v>
      </c>
      <c r="E16" s="13" t="s">
        <v>814</v>
      </c>
      <c r="F16" s="13" t="s">
        <v>762</v>
      </c>
      <c r="G16" s="13" t="s">
        <v>697</v>
      </c>
      <c r="H16" s="13"/>
      <c r="I16" s="13" t="s">
        <v>741</v>
      </c>
      <c r="J16" s="13" t="s">
        <v>792</v>
      </c>
      <c r="K16" s="13" t="s">
        <v>766</v>
      </c>
      <c r="L16" s="13" t="s">
        <v>815</v>
      </c>
    </row>
    <row r="17" spans="1:12" ht="18" customHeight="1" x14ac:dyDescent="0.35">
      <c r="A17" s="2" t="s">
        <v>816</v>
      </c>
      <c r="B17" s="2" t="s">
        <v>802</v>
      </c>
      <c r="C17" s="2" t="s">
        <v>803</v>
      </c>
      <c r="D17" s="2" t="s">
        <v>52</v>
      </c>
      <c r="E17" s="2" t="s">
        <v>817</v>
      </c>
      <c r="F17" s="2" t="s">
        <v>762</v>
      </c>
      <c r="G17" s="2" t="s">
        <v>697</v>
      </c>
      <c r="I17" s="2" t="s">
        <v>804</v>
      </c>
      <c r="J17" s="2" t="s">
        <v>792</v>
      </c>
      <c r="K17" s="2" t="s">
        <v>766</v>
      </c>
      <c r="L17" s="2" t="s">
        <v>818</v>
      </c>
    </row>
    <row r="18" spans="1:12" ht="18" customHeight="1" x14ac:dyDescent="0.35">
      <c r="A18" s="2" t="s">
        <v>819</v>
      </c>
      <c r="B18" s="2" t="s">
        <v>802</v>
      </c>
      <c r="C18" s="2" t="s">
        <v>803</v>
      </c>
      <c r="D18" s="2" t="s">
        <v>52</v>
      </c>
      <c r="E18" s="2" t="s">
        <v>820</v>
      </c>
      <c r="F18" s="2" t="s">
        <v>762</v>
      </c>
      <c r="G18" s="2" t="s">
        <v>821</v>
      </c>
      <c r="I18" s="2" t="s">
        <v>822</v>
      </c>
      <c r="J18" s="2" t="s">
        <v>822</v>
      </c>
      <c r="K18" s="2" t="s">
        <v>766</v>
      </c>
      <c r="L18" s="2" t="s">
        <v>823</v>
      </c>
    </row>
    <row r="19" spans="1:12" ht="18" customHeight="1" x14ac:dyDescent="0.35">
      <c r="A19" s="2" t="s">
        <v>824</v>
      </c>
      <c r="B19" s="2" t="s">
        <v>802</v>
      </c>
      <c r="C19" s="2" t="s">
        <v>803</v>
      </c>
      <c r="D19" s="2" t="s">
        <v>9</v>
      </c>
      <c r="E19" s="2" t="s">
        <v>825</v>
      </c>
      <c r="F19" s="2" t="s">
        <v>762</v>
      </c>
      <c r="G19" s="2" t="s">
        <v>697</v>
      </c>
      <c r="I19" s="2" t="s">
        <v>741</v>
      </c>
      <c r="J19" s="2" t="s">
        <v>278</v>
      </c>
      <c r="K19" s="2" t="s">
        <v>766</v>
      </c>
      <c r="L19" s="2" t="s">
        <v>826</v>
      </c>
    </row>
    <row r="20" spans="1:12" ht="18" customHeight="1" x14ac:dyDescent="0.35">
      <c r="A20" s="2" t="s">
        <v>827</v>
      </c>
      <c r="B20" s="2" t="s">
        <v>802</v>
      </c>
      <c r="C20" s="2" t="s">
        <v>803</v>
      </c>
      <c r="D20" s="2" t="s">
        <v>26</v>
      </c>
      <c r="E20" s="2" t="s">
        <v>828</v>
      </c>
      <c r="F20" s="2" t="s">
        <v>762</v>
      </c>
      <c r="G20" s="2" t="s">
        <v>255</v>
      </c>
      <c r="I20" s="2" t="s">
        <v>829</v>
      </c>
      <c r="J20" s="2" t="s">
        <v>278</v>
      </c>
      <c r="K20" s="2" t="s">
        <v>766</v>
      </c>
      <c r="L20" s="2" t="s">
        <v>830</v>
      </c>
    </row>
    <row r="21" spans="1:12" ht="18" customHeight="1" x14ac:dyDescent="0.35">
      <c r="A21" s="2" t="s">
        <v>801</v>
      </c>
      <c r="B21" s="2" t="s">
        <v>802</v>
      </c>
      <c r="C21" s="2" t="s">
        <v>803</v>
      </c>
      <c r="D21" s="2" t="s">
        <v>52</v>
      </c>
      <c r="E21" s="2" t="s">
        <v>761</v>
      </c>
      <c r="F21" s="2" t="s">
        <v>762</v>
      </c>
      <c r="G21" s="2" t="s">
        <v>697</v>
      </c>
      <c r="I21" s="2" t="s">
        <v>804</v>
      </c>
      <c r="J21" s="2" t="s">
        <v>805</v>
      </c>
      <c r="K21" s="2" t="s">
        <v>766</v>
      </c>
      <c r="L21" s="2" t="s">
        <v>806</v>
      </c>
    </row>
    <row r="22" spans="1:12" ht="18" customHeight="1" x14ac:dyDescent="0.35">
      <c r="A22" s="2" t="s">
        <v>807</v>
      </c>
      <c r="B22" s="2" t="s">
        <v>802</v>
      </c>
      <c r="C22" s="2" t="s">
        <v>803</v>
      </c>
      <c r="D22" s="2" t="s">
        <v>52</v>
      </c>
      <c r="E22" s="2" t="s">
        <v>831</v>
      </c>
      <c r="F22" s="2" t="s">
        <v>762</v>
      </c>
      <c r="G22" s="2" t="s">
        <v>697</v>
      </c>
      <c r="I22" s="2" t="s">
        <v>804</v>
      </c>
      <c r="J22" s="2" t="s">
        <v>808</v>
      </c>
      <c r="K22" s="2" t="s">
        <v>766</v>
      </c>
      <c r="L22" s="2" t="s">
        <v>806</v>
      </c>
    </row>
    <row r="23" spans="1:12" ht="18" customHeight="1" x14ac:dyDescent="0.35">
      <c r="A23" s="2" t="s">
        <v>809</v>
      </c>
      <c r="B23" s="2" t="s">
        <v>802</v>
      </c>
      <c r="C23" s="2" t="s">
        <v>803</v>
      </c>
      <c r="D23" s="2" t="s">
        <v>52</v>
      </c>
      <c r="E23" s="2" t="s">
        <v>832</v>
      </c>
      <c r="F23" s="2" t="s">
        <v>762</v>
      </c>
      <c r="G23" s="2" t="s">
        <v>697</v>
      </c>
      <c r="I23" s="2" t="s">
        <v>811</v>
      </c>
      <c r="J23" s="2" t="s">
        <v>792</v>
      </c>
      <c r="K23" s="2" t="s">
        <v>766</v>
      </c>
      <c r="L23" s="2" t="s">
        <v>812</v>
      </c>
    </row>
    <row r="24" spans="1:12" ht="18" customHeight="1" x14ac:dyDescent="0.35">
      <c r="A24" s="2" t="s">
        <v>813</v>
      </c>
      <c r="B24" s="2" t="s">
        <v>802</v>
      </c>
      <c r="C24" s="2" t="s">
        <v>803</v>
      </c>
      <c r="D24" s="2" t="s">
        <v>52</v>
      </c>
      <c r="E24" s="2" t="s">
        <v>814</v>
      </c>
      <c r="F24" s="2" t="s">
        <v>762</v>
      </c>
      <c r="G24" s="2" t="s">
        <v>697</v>
      </c>
      <c r="I24" s="2" t="s">
        <v>741</v>
      </c>
      <c r="J24" s="2" t="s">
        <v>792</v>
      </c>
      <c r="K24" s="2" t="s">
        <v>766</v>
      </c>
      <c r="L24" s="2" t="s">
        <v>815</v>
      </c>
    </row>
    <row r="25" spans="1:12" ht="18" customHeight="1" x14ac:dyDescent="0.35">
      <c r="A25" s="2" t="s">
        <v>816</v>
      </c>
      <c r="B25" s="2" t="s">
        <v>802</v>
      </c>
      <c r="C25" s="2" t="s">
        <v>803</v>
      </c>
      <c r="D25" s="2" t="s">
        <v>52</v>
      </c>
      <c r="E25" s="2" t="s">
        <v>833</v>
      </c>
      <c r="F25" s="2" t="s">
        <v>762</v>
      </c>
      <c r="G25" s="2" t="s">
        <v>821</v>
      </c>
      <c r="I25" s="2" t="s">
        <v>822</v>
      </c>
      <c r="J25" s="2" t="s">
        <v>822</v>
      </c>
      <c r="K25" s="2" t="s">
        <v>766</v>
      </c>
      <c r="L25" s="2" t="s">
        <v>823</v>
      </c>
    </row>
    <row r="26" spans="1:12" ht="18" customHeight="1" x14ac:dyDescent="0.35"/>
    <row r="27" spans="1:12" ht="18" customHeight="1" x14ac:dyDescent="0.35"/>
    <row r="28" spans="1:12" ht="18" customHeight="1" x14ac:dyDescent="0.35"/>
    <row r="29" spans="1:12" ht="18" customHeight="1" x14ac:dyDescent="0.35"/>
    <row r="30" spans="1:12" ht="18" customHeight="1" x14ac:dyDescent="0.35"/>
    <row r="31" spans="1:12" ht="18" customHeight="1" x14ac:dyDescent="0.35"/>
    <row r="32" spans="1:12" ht="18" customHeight="1" x14ac:dyDescent="0.35"/>
    <row r="33" s="2" customFormat="1" ht="18" customHeight="1" x14ac:dyDescent="0.35"/>
    <row r="34" s="2" customFormat="1" ht="18" customHeight="1" x14ac:dyDescent="0.35"/>
    <row r="35" s="2" customFormat="1" ht="18" customHeight="1" x14ac:dyDescent="0.35"/>
    <row r="36" s="2" customFormat="1" ht="18" customHeight="1" x14ac:dyDescent="0.35"/>
    <row r="37" s="2" customFormat="1" ht="18" customHeight="1" x14ac:dyDescent="0.35"/>
    <row r="38" s="2" customFormat="1" ht="18" customHeight="1" x14ac:dyDescent="0.35"/>
    <row r="39" s="2" customFormat="1" ht="18" customHeight="1" x14ac:dyDescent="0.35"/>
    <row r="40" s="2" customFormat="1" ht="18" customHeight="1" x14ac:dyDescent="0.35"/>
    <row r="41" s="2" customFormat="1" ht="18" customHeight="1" x14ac:dyDescent="0.35"/>
    <row r="42" s="2" customFormat="1" ht="18" customHeight="1" x14ac:dyDescent="0.35"/>
    <row r="43" s="2" customFormat="1" ht="18" customHeight="1" x14ac:dyDescent="0.35"/>
    <row r="44" s="2" customFormat="1" ht="18" customHeight="1" x14ac:dyDescent="0.35"/>
    <row r="45" s="2" customFormat="1" ht="18" customHeight="1" x14ac:dyDescent="0.35"/>
    <row r="46" s="2" customFormat="1" ht="18" customHeight="1" x14ac:dyDescent="0.35"/>
    <row r="47" s="2" customFormat="1" ht="18" customHeight="1" x14ac:dyDescent="0.35"/>
    <row r="48" s="2" customFormat="1" ht="18" customHeight="1" x14ac:dyDescent="0.35"/>
    <row r="49" s="2" customFormat="1" ht="18" customHeight="1" x14ac:dyDescent="0.35"/>
    <row r="50" s="2" customFormat="1" ht="18" customHeight="1" x14ac:dyDescent="0.35"/>
    <row r="51" s="2" customFormat="1" ht="18" customHeight="1" x14ac:dyDescent="0.35"/>
    <row r="52" s="2" customFormat="1" ht="18" customHeight="1" x14ac:dyDescent="0.35"/>
    <row r="53" s="2" customFormat="1" ht="18" customHeight="1" x14ac:dyDescent="0.35"/>
    <row r="54" s="2" customFormat="1" ht="18" customHeight="1" x14ac:dyDescent="0.35"/>
    <row r="55" s="2" customFormat="1" ht="18" customHeight="1" x14ac:dyDescent="0.35"/>
    <row r="56" s="2" customFormat="1" ht="18" customHeight="1" x14ac:dyDescent="0.35"/>
    <row r="57" s="2" customFormat="1" ht="18" customHeight="1" x14ac:dyDescent="0.35"/>
    <row r="58" s="2" customFormat="1" ht="18" customHeight="1" x14ac:dyDescent="0.35"/>
    <row r="59" s="2" customFormat="1" ht="18" customHeight="1" x14ac:dyDescent="0.35"/>
    <row r="60" s="2" customFormat="1" ht="18" customHeight="1" x14ac:dyDescent="0.35"/>
    <row r="61" s="2" customFormat="1" ht="18" customHeight="1" x14ac:dyDescent="0.35"/>
    <row r="62" s="2" customFormat="1" ht="18" customHeight="1" x14ac:dyDescent="0.35"/>
    <row r="63" s="2" customFormat="1" ht="18" customHeight="1" x14ac:dyDescent="0.35"/>
    <row r="64" s="2" customFormat="1" ht="18" customHeight="1" x14ac:dyDescent="0.35"/>
    <row r="65" s="2" customFormat="1" ht="18" customHeight="1" x14ac:dyDescent="0.35"/>
    <row r="66" s="2" customFormat="1" ht="18" customHeight="1" x14ac:dyDescent="0.35"/>
    <row r="67" s="2" customFormat="1" ht="18" customHeight="1" x14ac:dyDescent="0.35"/>
    <row r="68" s="2" customFormat="1" ht="18" customHeight="1" x14ac:dyDescent="0.35"/>
    <row r="69" s="2" customFormat="1" ht="18" customHeight="1" x14ac:dyDescent="0.35"/>
    <row r="70" s="2" customFormat="1" ht="18" customHeight="1" x14ac:dyDescent="0.35"/>
    <row r="71" s="2" customFormat="1" ht="18" customHeight="1" x14ac:dyDescent="0.35"/>
    <row r="72" s="2" customFormat="1" ht="18" customHeight="1" x14ac:dyDescent="0.35"/>
    <row r="73" s="2" customFormat="1" ht="18" customHeight="1" x14ac:dyDescent="0.35"/>
    <row r="74" s="2" customFormat="1" ht="18" customHeight="1" x14ac:dyDescent="0.35"/>
    <row r="75" s="2" customFormat="1" ht="18" customHeight="1" x14ac:dyDescent="0.35"/>
    <row r="76" s="2" customFormat="1" ht="18" customHeight="1" x14ac:dyDescent="0.35"/>
    <row r="77" s="2" customFormat="1" ht="18" customHeight="1" x14ac:dyDescent="0.35"/>
    <row r="78" s="2" customFormat="1" ht="18" customHeight="1" x14ac:dyDescent="0.35"/>
    <row r="79" s="2" customFormat="1" ht="18" customHeight="1" x14ac:dyDescent="0.35"/>
    <row r="80" s="2" customFormat="1" ht="18" customHeight="1" x14ac:dyDescent="0.35"/>
    <row r="81" s="2" customFormat="1" ht="18" customHeight="1" x14ac:dyDescent="0.35"/>
    <row r="82" s="2" customFormat="1" ht="18" customHeight="1" x14ac:dyDescent="0.35"/>
    <row r="83" s="2" customFormat="1" ht="18" customHeight="1" x14ac:dyDescent="0.35"/>
    <row r="84" s="2" customFormat="1" ht="18" customHeight="1" x14ac:dyDescent="0.35"/>
    <row r="85" s="2" customFormat="1" ht="18" customHeight="1" x14ac:dyDescent="0.35"/>
    <row r="86" s="2" customFormat="1" ht="18" customHeight="1" x14ac:dyDescent="0.35"/>
    <row r="87" s="2" customFormat="1" ht="18" customHeight="1" x14ac:dyDescent="0.35"/>
    <row r="88" s="2" customFormat="1" ht="18" customHeight="1" x14ac:dyDescent="0.35"/>
    <row r="89" s="2" customFormat="1" ht="18" customHeight="1" x14ac:dyDescent="0.35"/>
    <row r="90" s="2" customFormat="1" ht="18" customHeight="1" x14ac:dyDescent="0.35"/>
    <row r="91" s="2" customFormat="1" ht="18" customHeight="1" x14ac:dyDescent="0.35"/>
    <row r="92" s="2" customFormat="1" ht="18" customHeight="1" x14ac:dyDescent="0.35"/>
    <row r="93" s="2" customFormat="1" ht="18" customHeight="1" x14ac:dyDescent="0.35"/>
    <row r="94" s="2" customFormat="1" ht="18" customHeight="1" x14ac:dyDescent="0.35"/>
    <row r="95" s="2" customFormat="1" ht="18" customHeight="1" x14ac:dyDescent="0.35"/>
    <row r="96" s="2" customFormat="1" ht="18" customHeight="1" x14ac:dyDescent="0.35"/>
    <row r="97" s="2" customFormat="1" ht="18" customHeight="1" x14ac:dyDescent="0.35"/>
    <row r="98" s="2" customFormat="1" ht="18" customHeight="1" x14ac:dyDescent="0.35"/>
    <row r="99" s="2" customFormat="1" ht="18" customHeight="1" x14ac:dyDescent="0.35"/>
    <row r="100" s="2" customFormat="1" ht="18" customHeight="1" x14ac:dyDescent="0.35"/>
    <row r="101" s="2" customFormat="1" ht="18" customHeight="1" x14ac:dyDescent="0.35"/>
    <row r="102" s="2" customFormat="1" ht="18" customHeight="1" x14ac:dyDescent="0.35"/>
    <row r="103" s="2" customFormat="1" ht="18" customHeight="1" x14ac:dyDescent="0.35"/>
    <row r="104" s="2" customFormat="1" ht="18" customHeight="1" x14ac:dyDescent="0.35"/>
    <row r="105" s="2" customFormat="1" ht="18" customHeight="1" x14ac:dyDescent="0.35"/>
    <row r="106" s="2" customFormat="1" ht="18" customHeight="1" x14ac:dyDescent="0.35"/>
    <row r="107" s="2" customFormat="1" ht="18" customHeight="1" x14ac:dyDescent="0.35"/>
    <row r="108" s="2" customFormat="1" ht="18" customHeight="1" x14ac:dyDescent="0.35"/>
    <row r="109" s="2" customFormat="1" ht="18" customHeight="1" x14ac:dyDescent="0.35"/>
    <row r="110" s="2" customFormat="1" ht="18" customHeight="1" x14ac:dyDescent="0.35"/>
    <row r="111" s="2" customFormat="1" ht="18" customHeight="1" x14ac:dyDescent="0.35"/>
    <row r="112" s="2" customFormat="1" ht="18" customHeight="1" x14ac:dyDescent="0.35"/>
    <row r="113" s="2" customFormat="1" ht="18" customHeight="1" x14ac:dyDescent="0.35"/>
    <row r="114" s="2" customFormat="1" ht="18" customHeight="1" x14ac:dyDescent="0.35"/>
    <row r="115" s="2" customFormat="1" ht="18" customHeight="1" x14ac:dyDescent="0.35"/>
    <row r="116" s="2" customFormat="1" ht="18" customHeight="1" x14ac:dyDescent="0.35"/>
    <row r="117" s="2" customFormat="1" ht="18" customHeight="1" x14ac:dyDescent="0.35"/>
    <row r="118" s="2" customFormat="1" ht="18" customHeight="1" x14ac:dyDescent="0.35"/>
    <row r="119" s="2" customFormat="1" ht="18" customHeight="1" x14ac:dyDescent="0.35"/>
    <row r="120" s="2" customFormat="1" ht="18" customHeight="1" x14ac:dyDescent="0.35"/>
    <row r="121" s="2" customFormat="1" ht="18" customHeight="1" x14ac:dyDescent="0.35"/>
    <row r="122" s="2" customFormat="1" ht="18" customHeight="1" x14ac:dyDescent="0.35"/>
    <row r="123" s="2" customFormat="1" ht="18" customHeight="1" x14ac:dyDescent="0.35"/>
    <row r="124" s="2" customFormat="1" ht="18" customHeight="1" x14ac:dyDescent="0.35"/>
    <row r="125" s="2" customFormat="1" ht="18" customHeight="1" x14ac:dyDescent="0.35"/>
    <row r="126" s="2" customFormat="1" ht="18" customHeight="1" x14ac:dyDescent="0.35"/>
    <row r="127" s="2" customFormat="1" ht="18" customHeight="1" x14ac:dyDescent="0.35"/>
    <row r="128" s="2" customFormat="1" ht="18" customHeight="1" x14ac:dyDescent="0.35"/>
    <row r="129" s="2" customFormat="1" ht="18" customHeight="1" x14ac:dyDescent="0.35"/>
    <row r="130" s="2" customFormat="1" ht="18" customHeight="1" x14ac:dyDescent="0.35"/>
    <row r="131" s="2" customFormat="1" ht="18" customHeight="1" x14ac:dyDescent="0.35"/>
    <row r="132" s="2" customFormat="1" ht="18" customHeight="1" x14ac:dyDescent="0.35"/>
    <row r="133" s="2" customFormat="1" ht="18" customHeight="1" x14ac:dyDescent="0.35"/>
    <row r="134" s="2" customFormat="1" ht="18" customHeight="1" x14ac:dyDescent="0.35"/>
    <row r="135" s="2" customFormat="1" ht="18" customHeight="1" x14ac:dyDescent="0.35"/>
    <row r="136" s="2" customFormat="1" ht="18" customHeight="1" x14ac:dyDescent="0.35"/>
    <row r="137" s="2" customFormat="1" ht="18" customHeight="1" x14ac:dyDescent="0.35"/>
    <row r="138" s="2" customFormat="1" ht="18" customHeight="1" x14ac:dyDescent="0.35"/>
    <row r="139" s="2" customFormat="1" ht="18" customHeight="1" x14ac:dyDescent="0.35"/>
    <row r="140" s="2" customFormat="1" ht="18" customHeight="1" x14ac:dyDescent="0.35"/>
    <row r="141" s="2" customFormat="1" ht="18" customHeight="1" x14ac:dyDescent="0.35"/>
    <row r="142" s="2" customFormat="1" ht="18" customHeight="1" x14ac:dyDescent="0.35"/>
    <row r="143" s="2" customFormat="1" ht="18" customHeight="1" x14ac:dyDescent="0.35"/>
    <row r="144" s="2" customFormat="1" ht="18" customHeight="1" x14ac:dyDescent="0.35"/>
    <row r="145" s="2" customFormat="1" ht="18" customHeight="1" x14ac:dyDescent="0.35"/>
    <row r="146" s="2" customFormat="1" ht="18" customHeight="1" x14ac:dyDescent="0.35"/>
    <row r="147" s="2" customFormat="1" ht="18" customHeight="1" x14ac:dyDescent="0.35"/>
    <row r="148" s="2" customFormat="1" ht="18" customHeight="1" x14ac:dyDescent="0.35"/>
    <row r="149" s="2" customFormat="1" ht="18" customHeight="1" x14ac:dyDescent="0.35"/>
    <row r="150" s="2" customFormat="1" ht="18" customHeight="1" x14ac:dyDescent="0.35"/>
    <row r="151" s="2" customFormat="1" ht="18" customHeight="1" x14ac:dyDescent="0.35"/>
    <row r="152" s="2" customFormat="1" ht="18" customHeight="1" x14ac:dyDescent="0.35"/>
    <row r="153" s="2" customFormat="1" ht="18" customHeight="1" x14ac:dyDescent="0.35"/>
    <row r="154" s="2" customFormat="1" ht="18" customHeight="1" x14ac:dyDescent="0.35"/>
    <row r="155" s="2" customFormat="1" ht="18" customHeight="1" x14ac:dyDescent="0.35"/>
    <row r="156" s="2" customFormat="1" ht="18" customHeight="1" x14ac:dyDescent="0.35"/>
    <row r="157" s="2" customFormat="1" ht="18" customHeight="1" x14ac:dyDescent="0.35"/>
    <row r="158" s="2" customFormat="1" ht="18" customHeight="1" x14ac:dyDescent="0.35"/>
    <row r="159" s="2" customFormat="1" ht="18" customHeight="1" x14ac:dyDescent="0.35"/>
    <row r="160" s="2" customFormat="1" ht="18" customHeight="1" x14ac:dyDescent="0.35"/>
    <row r="161" s="2" customFormat="1" ht="18" customHeight="1" x14ac:dyDescent="0.35"/>
    <row r="162" s="2" customFormat="1" ht="18" customHeight="1" x14ac:dyDescent="0.35"/>
    <row r="163" s="2" customFormat="1" ht="18" customHeight="1" x14ac:dyDescent="0.35"/>
    <row r="164" s="2" customFormat="1" ht="18" customHeight="1" x14ac:dyDescent="0.35"/>
    <row r="165" s="2" customFormat="1" ht="18" customHeight="1" x14ac:dyDescent="0.35"/>
    <row r="166" s="2" customFormat="1" ht="18" customHeight="1" x14ac:dyDescent="0.35"/>
    <row r="167" s="2" customFormat="1" ht="18" customHeight="1" x14ac:dyDescent="0.35"/>
    <row r="168" s="2" customFormat="1" ht="18" customHeight="1" x14ac:dyDescent="0.35"/>
    <row r="169" s="2" customFormat="1" ht="18" customHeight="1" x14ac:dyDescent="0.35"/>
    <row r="170" s="2" customFormat="1" ht="18" customHeight="1" x14ac:dyDescent="0.35"/>
    <row r="171" s="2" customFormat="1" ht="18" customHeight="1" x14ac:dyDescent="0.35"/>
    <row r="172" s="2" customFormat="1" ht="18" customHeight="1" x14ac:dyDescent="0.35"/>
    <row r="173" s="2" customFormat="1" ht="18" customHeight="1" x14ac:dyDescent="0.35"/>
    <row r="174" s="2" customFormat="1" ht="18" customHeight="1" x14ac:dyDescent="0.35"/>
    <row r="175" s="2" customFormat="1" ht="18" customHeight="1" x14ac:dyDescent="0.35"/>
    <row r="176" s="2" customFormat="1" ht="18" customHeight="1" x14ac:dyDescent="0.35"/>
    <row r="177" s="2" customFormat="1" ht="18" customHeight="1" x14ac:dyDescent="0.35"/>
    <row r="178" s="2" customFormat="1" ht="18" customHeight="1" x14ac:dyDescent="0.35"/>
    <row r="179" s="2" customFormat="1" ht="18" customHeight="1" x14ac:dyDescent="0.35"/>
    <row r="180" s="2" customFormat="1" ht="18" customHeight="1" x14ac:dyDescent="0.35"/>
    <row r="181" s="2" customFormat="1" ht="18" customHeight="1" x14ac:dyDescent="0.35"/>
    <row r="182" s="2" customFormat="1" ht="18" customHeight="1" x14ac:dyDescent="0.35"/>
    <row r="183" s="2" customFormat="1" ht="18" customHeight="1" x14ac:dyDescent="0.35"/>
    <row r="184" s="2" customFormat="1" ht="18" customHeight="1" x14ac:dyDescent="0.35"/>
    <row r="185" s="2" customFormat="1" ht="18" customHeight="1" x14ac:dyDescent="0.35"/>
    <row r="186" s="2" customFormat="1" ht="18" customHeight="1" x14ac:dyDescent="0.35"/>
    <row r="187" s="2" customFormat="1" ht="18" customHeight="1" x14ac:dyDescent="0.35"/>
    <row r="188" s="2" customFormat="1" ht="18" customHeight="1" x14ac:dyDescent="0.35"/>
    <row r="189" s="2" customFormat="1" ht="18" customHeight="1" x14ac:dyDescent="0.35"/>
    <row r="190" s="2" customFormat="1" ht="18" customHeight="1" x14ac:dyDescent="0.35"/>
    <row r="191" s="2" customFormat="1" ht="18" customHeight="1" x14ac:dyDescent="0.35"/>
    <row r="192" s="2" customFormat="1" ht="18" customHeight="1" x14ac:dyDescent="0.35"/>
    <row r="193" s="2" customFormat="1" ht="18" customHeight="1" x14ac:dyDescent="0.35"/>
    <row r="194" s="2" customFormat="1" ht="18" customHeight="1" x14ac:dyDescent="0.35"/>
    <row r="195" s="2" customFormat="1" ht="18" customHeight="1" x14ac:dyDescent="0.35"/>
    <row r="196" s="2" customFormat="1" ht="18" customHeight="1" x14ac:dyDescent="0.35"/>
    <row r="197" s="2" customFormat="1" ht="18" customHeight="1" x14ac:dyDescent="0.35"/>
    <row r="198" s="2" customFormat="1" ht="18" customHeight="1" x14ac:dyDescent="0.35"/>
    <row r="199" s="2" customFormat="1" ht="18" customHeight="1" x14ac:dyDescent="0.35"/>
    <row r="200" s="2" customFormat="1" ht="18" customHeight="1" x14ac:dyDescent="0.35"/>
    <row r="201" s="2" customFormat="1" ht="18" customHeight="1" x14ac:dyDescent="0.35"/>
    <row r="202" s="2" customFormat="1" ht="18" customHeight="1" x14ac:dyDescent="0.35"/>
    <row r="203" s="2" customFormat="1" ht="18" customHeight="1" x14ac:dyDescent="0.35"/>
    <row r="204" s="2" customFormat="1" ht="18" customHeight="1" x14ac:dyDescent="0.35"/>
    <row r="205" s="2" customFormat="1" ht="18" customHeight="1" x14ac:dyDescent="0.35"/>
    <row r="206" s="2" customFormat="1" ht="18" customHeight="1" x14ac:dyDescent="0.35"/>
    <row r="207" s="2" customFormat="1" ht="18" customHeight="1" x14ac:dyDescent="0.35"/>
    <row r="208" s="2" customFormat="1" ht="18" customHeight="1" x14ac:dyDescent="0.35"/>
    <row r="209" s="2" customFormat="1" ht="18" customHeight="1" x14ac:dyDescent="0.35"/>
    <row r="210" s="2" customFormat="1" ht="18" customHeight="1" x14ac:dyDescent="0.35"/>
    <row r="211" s="2" customFormat="1" ht="18" customHeight="1" x14ac:dyDescent="0.35"/>
    <row r="212" s="2" customFormat="1" ht="18" customHeight="1" x14ac:dyDescent="0.35"/>
    <row r="213" s="2" customFormat="1" ht="18" customHeight="1" x14ac:dyDescent="0.35"/>
    <row r="214" s="2" customFormat="1" ht="18" customHeight="1" x14ac:dyDescent="0.35"/>
    <row r="215" s="2" customFormat="1" ht="18" customHeight="1" x14ac:dyDescent="0.35"/>
    <row r="216" s="2" customFormat="1" ht="18" customHeight="1" x14ac:dyDescent="0.35"/>
    <row r="217" s="2" customFormat="1" ht="18" customHeight="1" x14ac:dyDescent="0.35"/>
    <row r="218" s="2" customFormat="1" ht="18" customHeight="1" x14ac:dyDescent="0.35"/>
    <row r="219" s="2" customFormat="1" ht="18" customHeight="1" x14ac:dyDescent="0.35"/>
    <row r="220" s="2" customFormat="1" ht="18" customHeight="1" x14ac:dyDescent="0.35"/>
    <row r="221" s="2" customFormat="1" ht="18" customHeight="1" x14ac:dyDescent="0.35"/>
    <row r="222" s="2" customFormat="1" ht="18" customHeight="1" x14ac:dyDescent="0.35"/>
    <row r="223" s="2" customFormat="1" ht="18" customHeight="1" x14ac:dyDescent="0.35"/>
    <row r="224" s="2" customFormat="1" ht="18" customHeight="1" x14ac:dyDescent="0.35"/>
    <row r="225" s="2" customFormat="1" ht="18" customHeight="1" x14ac:dyDescent="0.35"/>
    <row r="226" s="2" customFormat="1" ht="18" customHeight="1" x14ac:dyDescent="0.35"/>
    <row r="227" s="2" customFormat="1" ht="18" customHeight="1" x14ac:dyDescent="0.35"/>
    <row r="228" s="2" customFormat="1" ht="18" customHeight="1" x14ac:dyDescent="0.35"/>
    <row r="229" s="2" customFormat="1" ht="18" customHeight="1" x14ac:dyDescent="0.35"/>
    <row r="230" s="2" customFormat="1" ht="18" customHeight="1" x14ac:dyDescent="0.35"/>
    <row r="231" s="2" customFormat="1" ht="18" customHeight="1" x14ac:dyDescent="0.35"/>
    <row r="232" s="2" customFormat="1" ht="18" customHeight="1" x14ac:dyDescent="0.35"/>
    <row r="233" s="2" customFormat="1" ht="18" customHeight="1" x14ac:dyDescent="0.35"/>
    <row r="234" s="2" customFormat="1" ht="18" customHeight="1" x14ac:dyDescent="0.35"/>
    <row r="235" s="2" customFormat="1" ht="18" customHeight="1" x14ac:dyDescent="0.35"/>
    <row r="236" s="2" customFormat="1" ht="18" customHeight="1" x14ac:dyDescent="0.35"/>
    <row r="237" s="2" customFormat="1" ht="18" customHeight="1" x14ac:dyDescent="0.35"/>
    <row r="238" s="2" customFormat="1" ht="18" customHeight="1" x14ac:dyDescent="0.35"/>
    <row r="239" s="2" customFormat="1" ht="18" customHeight="1" x14ac:dyDescent="0.35"/>
    <row r="240" s="2" customFormat="1" ht="18" customHeight="1" x14ac:dyDescent="0.35"/>
    <row r="241" s="2" customFormat="1" ht="18" customHeight="1" x14ac:dyDescent="0.35"/>
    <row r="242" s="2" customFormat="1" ht="18" customHeight="1" x14ac:dyDescent="0.35"/>
    <row r="243" s="2" customFormat="1" ht="18" customHeight="1" x14ac:dyDescent="0.35"/>
    <row r="244" s="2" customFormat="1" ht="18" customHeight="1" x14ac:dyDescent="0.35"/>
    <row r="245" s="2" customFormat="1" ht="18" customHeight="1" x14ac:dyDescent="0.35"/>
    <row r="246" s="2" customFormat="1" ht="18" customHeight="1" x14ac:dyDescent="0.35"/>
    <row r="247" s="2" customFormat="1" ht="18" customHeight="1" x14ac:dyDescent="0.35"/>
    <row r="248" s="2" customFormat="1" ht="18" customHeight="1" x14ac:dyDescent="0.35"/>
    <row r="249" s="2" customFormat="1" ht="18" customHeight="1" x14ac:dyDescent="0.35"/>
    <row r="250" s="2" customFormat="1" ht="18" customHeight="1" x14ac:dyDescent="0.35"/>
    <row r="251" s="2" customFormat="1" ht="18" customHeight="1" x14ac:dyDescent="0.35"/>
    <row r="252" s="2" customFormat="1" ht="18" customHeight="1" x14ac:dyDescent="0.35"/>
    <row r="253" s="2" customFormat="1" ht="18" customHeight="1" x14ac:dyDescent="0.35"/>
    <row r="254" s="2" customFormat="1" ht="18" customHeight="1" x14ac:dyDescent="0.35"/>
    <row r="255" s="2" customFormat="1" ht="18" customHeight="1" x14ac:dyDescent="0.35"/>
    <row r="256" s="2" customFormat="1" ht="18" customHeight="1" x14ac:dyDescent="0.35"/>
    <row r="257" s="2" customFormat="1" ht="18" customHeight="1" x14ac:dyDescent="0.35"/>
    <row r="258" s="2" customFormat="1" ht="18" customHeight="1" x14ac:dyDescent="0.35"/>
    <row r="259" s="2" customFormat="1" ht="18" customHeight="1" x14ac:dyDescent="0.35"/>
    <row r="260" s="2" customFormat="1" ht="18" customHeight="1" x14ac:dyDescent="0.35"/>
    <row r="261" s="2" customFormat="1" ht="18" customHeight="1" x14ac:dyDescent="0.35"/>
    <row r="262" s="2" customFormat="1" ht="18" customHeight="1" x14ac:dyDescent="0.35"/>
    <row r="263" s="2" customFormat="1" ht="18" customHeight="1" x14ac:dyDescent="0.35"/>
    <row r="264" s="2" customFormat="1" ht="18" customHeight="1" x14ac:dyDescent="0.35"/>
    <row r="265" s="2" customFormat="1" ht="18" customHeight="1" x14ac:dyDescent="0.35"/>
    <row r="266" s="2" customFormat="1" ht="18" customHeight="1" x14ac:dyDescent="0.35"/>
    <row r="267" s="2" customFormat="1" ht="18" customHeight="1" x14ac:dyDescent="0.35"/>
    <row r="268" s="2" customFormat="1" ht="18" customHeight="1" x14ac:dyDescent="0.35"/>
    <row r="269" s="2" customFormat="1" ht="18" customHeight="1" x14ac:dyDescent="0.35"/>
    <row r="270" s="2" customFormat="1" ht="18" customHeight="1" x14ac:dyDescent="0.35"/>
    <row r="271" s="2" customFormat="1" ht="18" customHeight="1" x14ac:dyDescent="0.35"/>
    <row r="272" s="2" customFormat="1" ht="18" customHeight="1" x14ac:dyDescent="0.35"/>
    <row r="273" s="2" customFormat="1" ht="18" customHeight="1" x14ac:dyDescent="0.35"/>
    <row r="274" s="2" customFormat="1" ht="18" customHeight="1" x14ac:dyDescent="0.35"/>
    <row r="275" s="2" customFormat="1" ht="18" customHeight="1" x14ac:dyDescent="0.35"/>
    <row r="276" s="2" customFormat="1" ht="18" customHeight="1" x14ac:dyDescent="0.35"/>
    <row r="277" s="2" customFormat="1" ht="18" customHeight="1" x14ac:dyDescent="0.35"/>
    <row r="278" s="2" customFormat="1" ht="18" customHeight="1" x14ac:dyDescent="0.35"/>
    <row r="279" s="2" customFormat="1" ht="18" customHeight="1" x14ac:dyDescent="0.35"/>
    <row r="280" s="2" customFormat="1" ht="18" customHeight="1" x14ac:dyDescent="0.35"/>
    <row r="281" s="2" customFormat="1" ht="18" customHeight="1" x14ac:dyDescent="0.35"/>
    <row r="282" s="2" customFormat="1" ht="18" customHeight="1" x14ac:dyDescent="0.35"/>
    <row r="283" s="2" customFormat="1" ht="18" customHeight="1" x14ac:dyDescent="0.35"/>
    <row r="284" s="2" customFormat="1" ht="18" customHeight="1" x14ac:dyDescent="0.35"/>
    <row r="285" s="2" customFormat="1" ht="18" customHeight="1" x14ac:dyDescent="0.35"/>
    <row r="286" s="2" customFormat="1" ht="18" customHeight="1" x14ac:dyDescent="0.35"/>
    <row r="287" s="2" customFormat="1" ht="18" customHeight="1" x14ac:dyDescent="0.35"/>
    <row r="288" s="2" customFormat="1" ht="18" customHeight="1" x14ac:dyDescent="0.35"/>
    <row r="289" s="2" customFormat="1" ht="18" customHeight="1" x14ac:dyDescent="0.35"/>
    <row r="290" s="2" customFormat="1" ht="18" customHeight="1" x14ac:dyDescent="0.35"/>
    <row r="291" s="2" customFormat="1" ht="18" customHeight="1" x14ac:dyDescent="0.35"/>
    <row r="292" s="2" customFormat="1" ht="18" customHeight="1" x14ac:dyDescent="0.35"/>
    <row r="293" s="2" customFormat="1" ht="18" customHeight="1" x14ac:dyDescent="0.35"/>
    <row r="294" s="2" customFormat="1" ht="18" customHeight="1" x14ac:dyDescent="0.35"/>
    <row r="295" s="2" customFormat="1" ht="18" customHeight="1" x14ac:dyDescent="0.35"/>
    <row r="296" s="2" customFormat="1" ht="18" customHeight="1" x14ac:dyDescent="0.35"/>
    <row r="297" s="2" customFormat="1" ht="18" customHeight="1" x14ac:dyDescent="0.35"/>
    <row r="298" s="2" customFormat="1" ht="18" customHeight="1" x14ac:dyDescent="0.35"/>
    <row r="299" s="2" customFormat="1" ht="18" customHeight="1" x14ac:dyDescent="0.35"/>
    <row r="300" s="2" customFormat="1" ht="18" customHeight="1" x14ac:dyDescent="0.35"/>
    <row r="301" s="2" customFormat="1" ht="18" customHeight="1" x14ac:dyDescent="0.35"/>
    <row r="302" s="2" customFormat="1" ht="18" customHeight="1" x14ac:dyDescent="0.35"/>
    <row r="303" s="2" customFormat="1" ht="18" customHeight="1" x14ac:dyDescent="0.35"/>
    <row r="304" s="2" customFormat="1" ht="18" customHeight="1" x14ac:dyDescent="0.35"/>
    <row r="305" s="2" customFormat="1" ht="18" customHeight="1" x14ac:dyDescent="0.35"/>
    <row r="306" s="2" customFormat="1" ht="18" customHeight="1" x14ac:dyDescent="0.35"/>
    <row r="307" s="2" customFormat="1" ht="18" customHeight="1" x14ac:dyDescent="0.35"/>
    <row r="308" s="2" customFormat="1" ht="18" customHeight="1" x14ac:dyDescent="0.35"/>
    <row r="309" s="2" customFormat="1" ht="18" customHeight="1" x14ac:dyDescent="0.35"/>
    <row r="310" s="2" customFormat="1" ht="18" customHeight="1" x14ac:dyDescent="0.35"/>
    <row r="311" s="2" customFormat="1" ht="18" customHeight="1" x14ac:dyDescent="0.35"/>
    <row r="312" s="2" customFormat="1" ht="18" customHeight="1" x14ac:dyDescent="0.35"/>
    <row r="313" s="2" customFormat="1" ht="18" customHeight="1" x14ac:dyDescent="0.35"/>
    <row r="314" s="2" customFormat="1" ht="18" customHeight="1" x14ac:dyDescent="0.35"/>
    <row r="315" s="2" customFormat="1" ht="18" customHeight="1" x14ac:dyDescent="0.35"/>
    <row r="316" s="2" customFormat="1" ht="18" customHeight="1" x14ac:dyDescent="0.35"/>
    <row r="317" s="2" customFormat="1" ht="18" customHeight="1" x14ac:dyDescent="0.35"/>
    <row r="318" s="2" customFormat="1" ht="18" customHeight="1" x14ac:dyDescent="0.35"/>
    <row r="319" s="2" customFormat="1" ht="18" customHeight="1" x14ac:dyDescent="0.35"/>
    <row r="320" s="2" customFormat="1" ht="18" customHeight="1" x14ac:dyDescent="0.35"/>
    <row r="321" s="2" customFormat="1" ht="18" customHeight="1" x14ac:dyDescent="0.35"/>
    <row r="322" s="2" customFormat="1" ht="18" customHeight="1" x14ac:dyDescent="0.35"/>
    <row r="323" s="2" customFormat="1" ht="18" customHeight="1" x14ac:dyDescent="0.35"/>
    <row r="324" s="2" customFormat="1" ht="18" customHeight="1" x14ac:dyDescent="0.35"/>
    <row r="325" s="2" customFormat="1" ht="18" customHeight="1" x14ac:dyDescent="0.35"/>
    <row r="326" s="2" customFormat="1" ht="18" customHeight="1" x14ac:dyDescent="0.35"/>
    <row r="327" s="2" customFormat="1" ht="18" customHeight="1" x14ac:dyDescent="0.35"/>
    <row r="328" s="2" customFormat="1" ht="18" customHeight="1" x14ac:dyDescent="0.35"/>
    <row r="329" s="2" customFormat="1" ht="18" customHeight="1" x14ac:dyDescent="0.35"/>
    <row r="330" s="2" customFormat="1" ht="18" customHeight="1" x14ac:dyDescent="0.35"/>
    <row r="331" s="2" customFormat="1" ht="18" customHeight="1" x14ac:dyDescent="0.35"/>
    <row r="332" s="2" customFormat="1" ht="18" customHeight="1" x14ac:dyDescent="0.35"/>
    <row r="333" s="2" customFormat="1" ht="18" customHeight="1" x14ac:dyDescent="0.35"/>
    <row r="334" s="2" customFormat="1" ht="18" customHeight="1" x14ac:dyDescent="0.35"/>
    <row r="335" s="2" customFormat="1" ht="18" customHeight="1" x14ac:dyDescent="0.35"/>
    <row r="336" s="2" customFormat="1" ht="18" customHeight="1" x14ac:dyDescent="0.35"/>
    <row r="337" s="2" customFormat="1" ht="18" customHeight="1" x14ac:dyDescent="0.35"/>
    <row r="338" s="2" customFormat="1" ht="18" customHeight="1" x14ac:dyDescent="0.35"/>
    <row r="339" s="2" customFormat="1" ht="18" customHeight="1" x14ac:dyDescent="0.35"/>
    <row r="340" s="2" customFormat="1" ht="18" customHeight="1" x14ac:dyDescent="0.35"/>
    <row r="341" s="2" customFormat="1" ht="18" customHeight="1" x14ac:dyDescent="0.35"/>
    <row r="342" s="2" customFormat="1" ht="18" customHeight="1" x14ac:dyDescent="0.35"/>
    <row r="343" s="2" customFormat="1" ht="18" customHeight="1" x14ac:dyDescent="0.35"/>
    <row r="344" s="2" customFormat="1" ht="18" customHeight="1" x14ac:dyDescent="0.35"/>
    <row r="345" s="2" customFormat="1" ht="18" customHeight="1" x14ac:dyDescent="0.35"/>
    <row r="346" s="2" customFormat="1" ht="18" customHeight="1" x14ac:dyDescent="0.35"/>
    <row r="347" s="2" customFormat="1" ht="18" customHeight="1" x14ac:dyDescent="0.35"/>
    <row r="348" s="2" customFormat="1" ht="18" customHeight="1" x14ac:dyDescent="0.35"/>
    <row r="349" s="2" customFormat="1" ht="18" customHeight="1" x14ac:dyDescent="0.35"/>
    <row r="350" s="2" customFormat="1" ht="18" customHeight="1" x14ac:dyDescent="0.35"/>
    <row r="351" s="2" customFormat="1" ht="18" customHeight="1" x14ac:dyDescent="0.35"/>
    <row r="352" s="2" customFormat="1" ht="18" customHeight="1" x14ac:dyDescent="0.35"/>
    <row r="353" s="2" customFormat="1" ht="18" customHeight="1" x14ac:dyDescent="0.35"/>
    <row r="354" s="2" customFormat="1" ht="18" customHeight="1" x14ac:dyDescent="0.35"/>
    <row r="355" s="2" customFormat="1" ht="18" customHeight="1" x14ac:dyDescent="0.35"/>
    <row r="356" s="2" customFormat="1" ht="18" customHeight="1" x14ac:dyDescent="0.35"/>
    <row r="357" s="2" customFormat="1" ht="18" customHeight="1" x14ac:dyDescent="0.35"/>
    <row r="358" s="2" customFormat="1" ht="18" customHeight="1" x14ac:dyDescent="0.35"/>
    <row r="359" s="2" customFormat="1" ht="18" customHeight="1" x14ac:dyDescent="0.35"/>
    <row r="360" s="2" customFormat="1" ht="18" customHeight="1" x14ac:dyDescent="0.35"/>
    <row r="361" s="2" customFormat="1" ht="18" customHeight="1" x14ac:dyDescent="0.35"/>
    <row r="362" s="2" customFormat="1" ht="18" customHeight="1" x14ac:dyDescent="0.35"/>
    <row r="363" s="2" customFormat="1" ht="18" customHeight="1" x14ac:dyDescent="0.35"/>
    <row r="364" s="2" customFormat="1" ht="18" customHeight="1" x14ac:dyDescent="0.35"/>
    <row r="365" s="2" customFormat="1" ht="18" customHeight="1" x14ac:dyDescent="0.35"/>
    <row r="366" s="2" customFormat="1" ht="18" customHeight="1" x14ac:dyDescent="0.35"/>
    <row r="367" s="2" customFormat="1" ht="18" customHeight="1" x14ac:dyDescent="0.35"/>
    <row r="368" s="2" customFormat="1" ht="18" customHeight="1" x14ac:dyDescent="0.35"/>
    <row r="369" s="2" customFormat="1" ht="18" customHeight="1" x14ac:dyDescent="0.35"/>
    <row r="370" s="2" customFormat="1" ht="18" customHeight="1" x14ac:dyDescent="0.35"/>
    <row r="371" s="2" customFormat="1" ht="18" customHeight="1" x14ac:dyDescent="0.35"/>
    <row r="372" s="2" customFormat="1" ht="18" customHeight="1" x14ac:dyDescent="0.35"/>
    <row r="373" s="2" customFormat="1" ht="18" customHeight="1" x14ac:dyDescent="0.35"/>
    <row r="374" s="2" customFormat="1" ht="18" customHeight="1" x14ac:dyDescent="0.35"/>
    <row r="375" s="2" customFormat="1" ht="18" customHeight="1" x14ac:dyDescent="0.35"/>
    <row r="376" s="2" customFormat="1" ht="18" customHeight="1" x14ac:dyDescent="0.35"/>
    <row r="377" s="2" customFormat="1" ht="18" customHeight="1" x14ac:dyDescent="0.35"/>
    <row r="378" s="2" customFormat="1" ht="18" customHeight="1" x14ac:dyDescent="0.35"/>
    <row r="379" s="2" customFormat="1" ht="18" customHeight="1" x14ac:dyDescent="0.35"/>
    <row r="380" s="2" customFormat="1" ht="18" customHeight="1" x14ac:dyDescent="0.35"/>
    <row r="381" s="2" customFormat="1" ht="18" customHeight="1" x14ac:dyDescent="0.35"/>
    <row r="382" s="2" customFormat="1" ht="18" customHeight="1" x14ac:dyDescent="0.35"/>
    <row r="383" s="2" customFormat="1" ht="18" customHeight="1" x14ac:dyDescent="0.35"/>
    <row r="384" s="2" customFormat="1" ht="18" customHeight="1" x14ac:dyDescent="0.35"/>
    <row r="385" s="2" customFormat="1" ht="18" customHeight="1" x14ac:dyDescent="0.35"/>
    <row r="386" s="2" customFormat="1" ht="18" customHeight="1" x14ac:dyDescent="0.35"/>
    <row r="387" s="2" customFormat="1" ht="18" customHeight="1" x14ac:dyDescent="0.35"/>
    <row r="388" s="2" customFormat="1" ht="18" customHeight="1" x14ac:dyDescent="0.35"/>
    <row r="389" s="2" customFormat="1" ht="18" customHeight="1" x14ac:dyDescent="0.35"/>
    <row r="390" s="2" customFormat="1" ht="18" customHeight="1" x14ac:dyDescent="0.35"/>
    <row r="391" s="2" customFormat="1" ht="18" customHeight="1" x14ac:dyDescent="0.35"/>
    <row r="392" s="2" customFormat="1" ht="18" customHeight="1" x14ac:dyDescent="0.35"/>
    <row r="393" s="2" customFormat="1" ht="18" customHeight="1" x14ac:dyDescent="0.35"/>
    <row r="394" s="2" customFormat="1" ht="18" customHeight="1" x14ac:dyDescent="0.35"/>
    <row r="395" s="2" customFormat="1" ht="18" customHeight="1" x14ac:dyDescent="0.35"/>
    <row r="396" s="2" customFormat="1" ht="18" customHeight="1" x14ac:dyDescent="0.35"/>
    <row r="397" s="2" customFormat="1" ht="18" customHeight="1" x14ac:dyDescent="0.35"/>
    <row r="398" s="2" customFormat="1" ht="18" customHeight="1" x14ac:dyDescent="0.35"/>
    <row r="399" s="2" customFormat="1" ht="18" customHeight="1" x14ac:dyDescent="0.35"/>
    <row r="400" s="2" customFormat="1" ht="18" customHeight="1" x14ac:dyDescent="0.35"/>
    <row r="401" s="2" customFormat="1" ht="18" customHeight="1" x14ac:dyDescent="0.35"/>
    <row r="402" s="2" customFormat="1" ht="18" customHeight="1" x14ac:dyDescent="0.35"/>
    <row r="403" s="2" customFormat="1" ht="18" customHeight="1" x14ac:dyDescent="0.35"/>
    <row r="404" s="2" customFormat="1" ht="18" customHeight="1" x14ac:dyDescent="0.35"/>
    <row r="405" s="2" customFormat="1" ht="18" customHeight="1" x14ac:dyDescent="0.35"/>
    <row r="406" s="2" customFormat="1" ht="18" customHeight="1" x14ac:dyDescent="0.35"/>
    <row r="407" s="2" customFormat="1" ht="18" customHeight="1" x14ac:dyDescent="0.35"/>
    <row r="408" s="2" customFormat="1" ht="18" customHeight="1" x14ac:dyDescent="0.35"/>
    <row r="409" s="2" customFormat="1" ht="18" customHeight="1" x14ac:dyDescent="0.35"/>
    <row r="410" s="2" customFormat="1" ht="18" customHeight="1" x14ac:dyDescent="0.35"/>
    <row r="411" s="2" customFormat="1" ht="18" customHeight="1" x14ac:dyDescent="0.35"/>
    <row r="412" s="2" customFormat="1" ht="18" customHeight="1" x14ac:dyDescent="0.35"/>
    <row r="413" s="2" customFormat="1" ht="18" customHeight="1" x14ac:dyDescent="0.35"/>
    <row r="414" s="2" customFormat="1" ht="18" customHeight="1" x14ac:dyDescent="0.35"/>
    <row r="415" s="2" customFormat="1" ht="18" customHeight="1" x14ac:dyDescent="0.35"/>
    <row r="416" s="2" customFormat="1" ht="18" customHeight="1" x14ac:dyDescent="0.35"/>
    <row r="417" s="2" customFormat="1" ht="18" customHeight="1" x14ac:dyDescent="0.35"/>
    <row r="418" s="2" customFormat="1" ht="18" customHeight="1" x14ac:dyDescent="0.35"/>
    <row r="419" s="2" customFormat="1" ht="18" customHeight="1" x14ac:dyDescent="0.35"/>
    <row r="420" s="2" customFormat="1" ht="18" customHeight="1" x14ac:dyDescent="0.35"/>
    <row r="421" s="2" customFormat="1" ht="18" customHeight="1" x14ac:dyDescent="0.35"/>
    <row r="422" s="2" customFormat="1" ht="18" customHeight="1" x14ac:dyDescent="0.35"/>
    <row r="423" s="2" customFormat="1" ht="18" customHeight="1" x14ac:dyDescent="0.35"/>
    <row r="424" s="2" customFormat="1" ht="18" customHeight="1" x14ac:dyDescent="0.35"/>
    <row r="425" s="2" customFormat="1" ht="18" customHeight="1" x14ac:dyDescent="0.35"/>
    <row r="426" s="2" customFormat="1" ht="18" customHeight="1" x14ac:dyDescent="0.35"/>
    <row r="427" s="2" customFormat="1" ht="18" customHeight="1" x14ac:dyDescent="0.35"/>
    <row r="428" s="2" customFormat="1" ht="18" customHeight="1" x14ac:dyDescent="0.35"/>
    <row r="429" s="2" customFormat="1" ht="18" customHeight="1" x14ac:dyDescent="0.35"/>
    <row r="430" s="2" customFormat="1" ht="18" customHeight="1" x14ac:dyDescent="0.35"/>
    <row r="431" s="2" customFormat="1" ht="18" customHeight="1" x14ac:dyDescent="0.35"/>
    <row r="432" s="2" customFormat="1" ht="18" customHeight="1" x14ac:dyDescent="0.35"/>
    <row r="433" s="2" customFormat="1" ht="18" customHeight="1" x14ac:dyDescent="0.35"/>
    <row r="434" s="2" customFormat="1" ht="18" customHeight="1" x14ac:dyDescent="0.35"/>
    <row r="435" s="2" customFormat="1" ht="18" customHeight="1" x14ac:dyDescent="0.35"/>
    <row r="436" s="2" customFormat="1" ht="18" customHeight="1" x14ac:dyDescent="0.35"/>
    <row r="437" s="2" customFormat="1" ht="18" customHeight="1" x14ac:dyDescent="0.35"/>
    <row r="438" s="2" customFormat="1" ht="18" customHeight="1" x14ac:dyDescent="0.35"/>
    <row r="439" s="2" customFormat="1" ht="18" customHeight="1" x14ac:dyDescent="0.35"/>
    <row r="440" s="2" customFormat="1" ht="18" customHeight="1" x14ac:dyDescent="0.35"/>
    <row r="441" s="2" customFormat="1" ht="18" customHeight="1" x14ac:dyDescent="0.35"/>
    <row r="442" s="2" customFormat="1" ht="18" customHeight="1" x14ac:dyDescent="0.35"/>
    <row r="443" s="2" customFormat="1" ht="18" customHeight="1" x14ac:dyDescent="0.35"/>
    <row r="444" s="2" customFormat="1" ht="18" customHeight="1" x14ac:dyDescent="0.35"/>
    <row r="445" s="2" customFormat="1" ht="18" customHeight="1" x14ac:dyDescent="0.35"/>
    <row r="446" s="2" customFormat="1" ht="18" customHeight="1" x14ac:dyDescent="0.35"/>
    <row r="447" s="2" customFormat="1" ht="18" customHeight="1" x14ac:dyDescent="0.35"/>
    <row r="448" s="2" customFormat="1" ht="18" customHeight="1" x14ac:dyDescent="0.35"/>
    <row r="449" s="2" customFormat="1" ht="18" customHeight="1" x14ac:dyDescent="0.35"/>
    <row r="450" s="2" customFormat="1" ht="18" customHeight="1" x14ac:dyDescent="0.35"/>
    <row r="451" s="2" customFormat="1" ht="18" customHeight="1" x14ac:dyDescent="0.35"/>
    <row r="452" s="2" customFormat="1" ht="18" customHeight="1" x14ac:dyDescent="0.35"/>
    <row r="453" s="2" customFormat="1" ht="18" customHeight="1" x14ac:dyDescent="0.35"/>
    <row r="454" s="2" customFormat="1" ht="18" customHeight="1" x14ac:dyDescent="0.35"/>
    <row r="455" s="2" customFormat="1" ht="18" customHeight="1" x14ac:dyDescent="0.35"/>
    <row r="456" s="2" customFormat="1" ht="18" customHeight="1" x14ac:dyDescent="0.35"/>
    <row r="457" s="2" customFormat="1" ht="18" customHeight="1" x14ac:dyDescent="0.35"/>
    <row r="458" s="2" customFormat="1" ht="18" customHeight="1" x14ac:dyDescent="0.35"/>
    <row r="459" s="2" customFormat="1" ht="18" customHeight="1" x14ac:dyDescent="0.35"/>
    <row r="460" s="2" customFormat="1" ht="18" customHeight="1" x14ac:dyDescent="0.35"/>
    <row r="461" s="2" customFormat="1" ht="18" customHeight="1" x14ac:dyDescent="0.35"/>
    <row r="462" s="2" customFormat="1" ht="18" customHeight="1" x14ac:dyDescent="0.35"/>
    <row r="463" s="2" customFormat="1" ht="18" customHeight="1" x14ac:dyDescent="0.35"/>
    <row r="464" s="2" customFormat="1" ht="18" customHeight="1" x14ac:dyDescent="0.35"/>
    <row r="465" s="2" customFormat="1" ht="18" customHeight="1" x14ac:dyDescent="0.35"/>
    <row r="466" s="2" customFormat="1" ht="18" customHeight="1" x14ac:dyDescent="0.35"/>
    <row r="467" s="2" customFormat="1" ht="18" customHeight="1" x14ac:dyDescent="0.35"/>
    <row r="468" s="2" customFormat="1" ht="18" customHeight="1" x14ac:dyDescent="0.35"/>
    <row r="469" s="2" customFormat="1" ht="18" customHeight="1" x14ac:dyDescent="0.35"/>
    <row r="470" s="2" customFormat="1" ht="18" customHeight="1" x14ac:dyDescent="0.35"/>
    <row r="471" s="2" customFormat="1" ht="18" customHeight="1" x14ac:dyDescent="0.35"/>
    <row r="472" s="2" customFormat="1" ht="18" customHeight="1" x14ac:dyDescent="0.35"/>
    <row r="473" s="2" customFormat="1" ht="18" customHeight="1" x14ac:dyDescent="0.35"/>
    <row r="474" s="2" customFormat="1" ht="18" customHeight="1" x14ac:dyDescent="0.35"/>
    <row r="475" s="2" customFormat="1" ht="18" customHeight="1" x14ac:dyDescent="0.35"/>
    <row r="476" s="2" customFormat="1" ht="18" customHeight="1" x14ac:dyDescent="0.35"/>
    <row r="477" s="2" customFormat="1" ht="18" customHeight="1" x14ac:dyDescent="0.35"/>
    <row r="478" s="2" customFormat="1" ht="18" customHeight="1" x14ac:dyDescent="0.35"/>
    <row r="479" s="2" customFormat="1" ht="18" customHeight="1" x14ac:dyDescent="0.35"/>
    <row r="480" s="2" customFormat="1" ht="18" customHeight="1" x14ac:dyDescent="0.35"/>
    <row r="481" s="2" customFormat="1" ht="18" customHeight="1" x14ac:dyDescent="0.35"/>
    <row r="482" s="2" customFormat="1" ht="18" customHeight="1" x14ac:dyDescent="0.35"/>
    <row r="483" s="2" customFormat="1" ht="18" customHeight="1" x14ac:dyDescent="0.35"/>
    <row r="484" s="2" customFormat="1" ht="18" customHeight="1" x14ac:dyDescent="0.35"/>
    <row r="485" s="2" customFormat="1" ht="18" customHeight="1" x14ac:dyDescent="0.35"/>
    <row r="486" s="2" customFormat="1" ht="18" customHeight="1" x14ac:dyDescent="0.35"/>
    <row r="487" s="2" customFormat="1" ht="18" customHeight="1" x14ac:dyDescent="0.35"/>
    <row r="488" s="2" customFormat="1" ht="18" customHeight="1" x14ac:dyDescent="0.35"/>
    <row r="489" s="2" customFormat="1" ht="18" customHeight="1" x14ac:dyDescent="0.35"/>
    <row r="490" s="2" customFormat="1" ht="18" customHeight="1" x14ac:dyDescent="0.35"/>
    <row r="491" s="2" customFormat="1" ht="18" customHeight="1" x14ac:dyDescent="0.35"/>
    <row r="492" s="2" customFormat="1" ht="18" customHeight="1" x14ac:dyDescent="0.35"/>
    <row r="493" s="2" customFormat="1" ht="18" customHeight="1" x14ac:dyDescent="0.35"/>
    <row r="494" s="2" customFormat="1" ht="18" customHeight="1" x14ac:dyDescent="0.35"/>
    <row r="495" s="2" customFormat="1" ht="18" customHeight="1" x14ac:dyDescent="0.35"/>
    <row r="496" s="2" customFormat="1" ht="18" customHeight="1" x14ac:dyDescent="0.35"/>
    <row r="497" s="2" customFormat="1" ht="18" customHeight="1" x14ac:dyDescent="0.35"/>
    <row r="498" s="2" customFormat="1" ht="18" customHeight="1" x14ac:dyDescent="0.35"/>
    <row r="499" s="2" customFormat="1" ht="18" customHeight="1" x14ac:dyDescent="0.35"/>
    <row r="500" s="2" customFormat="1" ht="18" customHeight="1" x14ac:dyDescent="0.35"/>
  </sheetData>
  <sheetProtection algorithmName="SHA-512" hashValue="GiK/96/yaGron/lR+6VkQMtrSlNE4FOCjMt354J99lXvOoUxk6KtkGmHf9ZnNJaargxQuibWpGFJh8CoFoIFIw==" saltValue="M6upB9ALrW9YNrOQyo74nQ==" spinCount="100000" sheet="1" objects="1" scenarios="1"/>
  <mergeCells count="3">
    <mergeCell ref="A1:L1"/>
    <mergeCell ref="A2:L2"/>
    <mergeCell ref="A3:L3"/>
  </mergeCells>
  <dataValidations count="2">
    <dataValidation type="list" sqref="F5:F500" xr:uid="{00000000-0002-0000-0E00-000000000000}">
      <formula1>"INSERT,UPDATE,DELETE,AUTO,APPROVE"</formula1>
      <formula2>0</formula2>
    </dataValidation>
    <dataValidation type="list" sqref="K5:K500" xr:uid="{00000000-0002-0000-0E00-000001000000}">
      <formula1>"Auto-Posted,Approved,Pending,Rejected,System"</formula1>
      <formula2>0</formula2>
    </dataValidation>
  </dataValidations>
  <hyperlinks>
    <hyperlink ref="N1" location="DMC_NAVIGATION!A1" display="🏠 Back to Home" xr:uid="{00000000-0004-0000-0E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J35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40" style="2" customWidth="1"/>
    <col min="2" max="2" width="24" style="2" customWidth="1"/>
    <col min="3" max="3" width="40" style="2" customWidth="1"/>
    <col min="4" max="4" width="19" style="2" customWidth="1"/>
    <col min="5" max="5" width="26" style="2" customWidth="1"/>
    <col min="6" max="6" width="40" style="2" customWidth="1"/>
    <col min="7" max="7" width="16" style="2" customWidth="1"/>
    <col min="8" max="8" width="8" style="2" customWidth="1"/>
    <col min="9" max="9" width="8.6328125" style="2"/>
    <col min="10" max="10" width="18" style="2" customWidth="1"/>
    <col min="11" max="16384" width="8.6328125" style="2"/>
  </cols>
  <sheetData>
    <row r="1" spans="1:10" ht="25.5" customHeight="1" x14ac:dyDescent="0.35">
      <c r="A1" s="32" t="s">
        <v>834</v>
      </c>
      <c r="B1" s="32"/>
      <c r="C1" s="32"/>
      <c r="D1" s="32"/>
      <c r="E1" s="32"/>
      <c r="G1" s="27" t="s">
        <v>88</v>
      </c>
      <c r="J1" s="28"/>
    </row>
    <row r="2" spans="1:10" ht="19.5" customHeight="1" x14ac:dyDescent="0.35">
      <c r="A2" s="29" t="s">
        <v>835</v>
      </c>
      <c r="B2" s="29"/>
      <c r="C2" s="29"/>
      <c r="D2" s="29"/>
      <c r="E2" s="29"/>
    </row>
    <row r="3" spans="1:10" ht="15" customHeight="1" x14ac:dyDescent="0.35">
      <c r="A3" s="48" t="s">
        <v>836</v>
      </c>
      <c r="B3" s="48"/>
      <c r="C3" s="48"/>
      <c r="D3" s="48"/>
      <c r="E3" s="48"/>
      <c r="F3" s="48"/>
      <c r="G3" s="48"/>
    </row>
    <row r="4" spans="1:10" ht="31.5" customHeight="1" x14ac:dyDescent="0.35">
      <c r="A4" s="33" t="s">
        <v>837</v>
      </c>
      <c r="B4" s="33" t="s">
        <v>838</v>
      </c>
      <c r="C4" s="33" t="s">
        <v>5</v>
      </c>
      <c r="D4" s="33" t="s">
        <v>839</v>
      </c>
      <c r="E4" s="33" t="s">
        <v>840</v>
      </c>
    </row>
    <row r="5" spans="1:10" ht="23.25" customHeight="1" x14ac:dyDescent="0.35">
      <c r="A5" s="9" t="s">
        <v>841</v>
      </c>
      <c r="B5" s="9" t="s">
        <v>842</v>
      </c>
      <c r="C5" s="9" t="s">
        <v>843</v>
      </c>
      <c r="D5" s="9" t="s">
        <v>844</v>
      </c>
      <c r="E5" s="9" t="s">
        <v>845</v>
      </c>
    </row>
    <row r="6" spans="1:10" ht="18" customHeight="1" x14ac:dyDescent="0.35">
      <c r="A6" s="13" t="s">
        <v>846</v>
      </c>
      <c r="B6" s="13" t="s">
        <v>847</v>
      </c>
      <c r="C6" s="13" t="s">
        <v>848</v>
      </c>
      <c r="D6" s="13" t="s">
        <v>844</v>
      </c>
      <c r="E6" s="13" t="s">
        <v>849</v>
      </c>
    </row>
    <row r="7" spans="1:10" ht="18" customHeight="1" x14ac:dyDescent="0.35">
      <c r="A7" s="9" t="s">
        <v>850</v>
      </c>
      <c r="B7" s="9" t="s">
        <v>851</v>
      </c>
      <c r="C7" s="9" t="s">
        <v>852</v>
      </c>
      <c r="D7" s="9" t="s">
        <v>853</v>
      </c>
      <c r="E7" s="9" t="s">
        <v>854</v>
      </c>
    </row>
    <row r="8" spans="1:10" ht="18" customHeight="1" x14ac:dyDescent="0.35">
      <c r="A8" s="13" t="s">
        <v>855</v>
      </c>
      <c r="B8" s="13" t="s">
        <v>856</v>
      </c>
      <c r="C8" s="13" t="s">
        <v>857</v>
      </c>
      <c r="D8" s="13" t="s">
        <v>853</v>
      </c>
      <c r="E8" s="13" t="s">
        <v>858</v>
      </c>
    </row>
    <row r="9" spans="1:10" ht="18" customHeight="1" x14ac:dyDescent="0.35">
      <c r="A9" s="9" t="s">
        <v>859</v>
      </c>
      <c r="B9" s="9" t="s">
        <v>860</v>
      </c>
      <c r="C9" s="9" t="s">
        <v>861</v>
      </c>
      <c r="D9" s="9" t="s">
        <v>853</v>
      </c>
      <c r="E9" s="9" t="s">
        <v>862</v>
      </c>
    </row>
    <row r="10" spans="1:10" ht="18" customHeight="1" x14ac:dyDescent="0.35">
      <c r="A10" s="49" t="s">
        <v>863</v>
      </c>
      <c r="B10" s="49"/>
      <c r="C10" s="49"/>
      <c r="D10" s="49"/>
      <c r="E10" s="49"/>
      <c r="F10" s="49"/>
      <c r="G10" s="49"/>
    </row>
    <row r="11" spans="1:10" ht="18" customHeight="1" x14ac:dyDescent="0.35">
      <c r="A11" s="6" t="s">
        <v>837</v>
      </c>
      <c r="B11" s="6" t="s">
        <v>864</v>
      </c>
      <c r="C11" s="6" t="s">
        <v>865</v>
      </c>
      <c r="D11" s="6" t="s">
        <v>387</v>
      </c>
      <c r="E11" s="6" t="s">
        <v>389</v>
      </c>
      <c r="F11" s="6" t="s">
        <v>253</v>
      </c>
      <c r="G11" s="6" t="s">
        <v>866</v>
      </c>
      <c r="H11" s="6" t="s">
        <v>7</v>
      </c>
    </row>
    <row r="12" spans="1:10" ht="18" customHeight="1" x14ac:dyDescent="0.35">
      <c r="A12" s="9" t="s">
        <v>841</v>
      </c>
      <c r="B12" s="9" t="s">
        <v>867</v>
      </c>
      <c r="C12" s="9" t="s">
        <v>868</v>
      </c>
      <c r="D12" s="9" t="s">
        <v>414</v>
      </c>
      <c r="E12" s="35">
        <v>500000</v>
      </c>
      <c r="F12" s="9" t="s">
        <v>313</v>
      </c>
      <c r="G12" s="35">
        <v>30</v>
      </c>
      <c r="H12" s="9" t="s">
        <v>267</v>
      </c>
    </row>
    <row r="13" spans="1:10" ht="18" customHeight="1" x14ac:dyDescent="0.35">
      <c r="A13" s="13" t="s">
        <v>841</v>
      </c>
      <c r="B13" s="13" t="s">
        <v>869</v>
      </c>
      <c r="C13" s="13" t="s">
        <v>870</v>
      </c>
      <c r="D13" s="13" t="s">
        <v>871</v>
      </c>
      <c r="E13" s="36">
        <v>400000</v>
      </c>
      <c r="F13" s="13" t="s">
        <v>872</v>
      </c>
      <c r="G13" s="36">
        <v>45</v>
      </c>
      <c r="H13" s="13" t="s">
        <v>267</v>
      </c>
    </row>
    <row r="14" spans="1:10" ht="18" customHeight="1" x14ac:dyDescent="0.35">
      <c r="A14" s="9" t="s">
        <v>841</v>
      </c>
      <c r="B14" s="9" t="s">
        <v>873</v>
      </c>
      <c r="C14" s="9" t="s">
        <v>874</v>
      </c>
      <c r="D14" s="9" t="s">
        <v>875</v>
      </c>
      <c r="E14" s="35">
        <v>150000</v>
      </c>
      <c r="F14" s="9" t="s">
        <v>277</v>
      </c>
      <c r="G14" s="35">
        <v>30</v>
      </c>
      <c r="H14" s="9" t="s">
        <v>267</v>
      </c>
    </row>
    <row r="15" spans="1:10" ht="18" customHeight="1" x14ac:dyDescent="0.35">
      <c r="A15" s="13" t="s">
        <v>841</v>
      </c>
      <c r="B15" s="13" t="s">
        <v>876</v>
      </c>
      <c r="C15" s="13" t="s">
        <v>877</v>
      </c>
      <c r="D15" s="13" t="s">
        <v>878</v>
      </c>
      <c r="E15" s="36">
        <v>0</v>
      </c>
      <c r="F15" s="13" t="s">
        <v>879</v>
      </c>
      <c r="G15" s="36">
        <v>0</v>
      </c>
      <c r="H15" s="13" t="s">
        <v>267</v>
      </c>
    </row>
    <row r="16" spans="1:10" ht="18" customHeight="1" x14ac:dyDescent="0.35">
      <c r="A16" s="9" t="s">
        <v>841</v>
      </c>
      <c r="B16" s="9" t="s">
        <v>880</v>
      </c>
      <c r="C16" s="9" t="s">
        <v>401</v>
      </c>
      <c r="D16" s="9" t="s">
        <v>402</v>
      </c>
      <c r="E16" s="35">
        <v>300000</v>
      </c>
      <c r="F16" s="9" t="s">
        <v>313</v>
      </c>
      <c r="G16" s="35">
        <v>45</v>
      </c>
      <c r="H16" s="9" t="s">
        <v>267</v>
      </c>
    </row>
    <row r="17" spans="1:8" ht="18" customHeight="1" x14ac:dyDescent="0.35">
      <c r="A17" s="13" t="s">
        <v>841</v>
      </c>
      <c r="B17" s="13" t="s">
        <v>881</v>
      </c>
      <c r="C17" s="13" t="s">
        <v>407</v>
      </c>
      <c r="D17" s="13" t="s">
        <v>408</v>
      </c>
      <c r="E17" s="36">
        <v>250000</v>
      </c>
      <c r="F17" s="13" t="s">
        <v>409</v>
      </c>
      <c r="G17" s="36">
        <v>30</v>
      </c>
      <c r="H17" s="13" t="s">
        <v>267</v>
      </c>
    </row>
    <row r="18" spans="1:8" ht="18" customHeight="1" x14ac:dyDescent="0.35">
      <c r="A18" s="9" t="s">
        <v>841</v>
      </c>
      <c r="B18" s="9" t="s">
        <v>882</v>
      </c>
      <c r="C18" s="9" t="s">
        <v>423</v>
      </c>
      <c r="D18" s="9" t="s">
        <v>414</v>
      </c>
      <c r="E18" s="35">
        <v>350000</v>
      </c>
      <c r="F18" s="9" t="s">
        <v>313</v>
      </c>
      <c r="G18" s="35">
        <v>30</v>
      </c>
      <c r="H18" s="9" t="s">
        <v>267</v>
      </c>
    </row>
    <row r="19" spans="1:8" ht="18" customHeight="1" x14ac:dyDescent="0.35">
      <c r="A19" s="13" t="s">
        <v>841</v>
      </c>
      <c r="B19" s="13" t="s">
        <v>883</v>
      </c>
      <c r="C19" s="13" t="s">
        <v>435</v>
      </c>
      <c r="D19" s="13" t="s">
        <v>436</v>
      </c>
      <c r="E19" s="36">
        <v>450000</v>
      </c>
      <c r="F19" s="13" t="s">
        <v>277</v>
      </c>
      <c r="G19" s="36">
        <v>45</v>
      </c>
      <c r="H19" s="13" t="s">
        <v>267</v>
      </c>
    </row>
    <row r="20" spans="1:8" ht="18" customHeight="1" x14ac:dyDescent="0.35"/>
    <row r="21" spans="1:8" ht="18" customHeight="1" x14ac:dyDescent="0.35">
      <c r="A21" s="49" t="s">
        <v>884</v>
      </c>
      <c r="B21" s="49"/>
      <c r="C21" s="49"/>
      <c r="D21" s="49"/>
      <c r="E21" s="49"/>
      <c r="F21" s="49"/>
      <c r="G21" s="49"/>
    </row>
    <row r="22" spans="1:8" ht="18" customHeight="1" x14ac:dyDescent="0.35">
      <c r="A22" s="6" t="s">
        <v>837</v>
      </c>
      <c r="B22" s="6" t="s">
        <v>864</v>
      </c>
      <c r="C22" s="6" t="s">
        <v>865</v>
      </c>
      <c r="D22" s="6" t="s">
        <v>885</v>
      </c>
      <c r="E22" s="6" t="s">
        <v>886</v>
      </c>
      <c r="F22" s="6" t="s">
        <v>139</v>
      </c>
    </row>
    <row r="23" spans="1:8" ht="18" customHeight="1" x14ac:dyDescent="0.35">
      <c r="A23" s="9" t="s">
        <v>846</v>
      </c>
      <c r="B23" s="9" t="s">
        <v>887</v>
      </c>
      <c r="C23" s="9" t="s">
        <v>455</v>
      </c>
      <c r="D23" s="9" t="s">
        <v>888</v>
      </c>
      <c r="E23" s="9" t="s">
        <v>889</v>
      </c>
      <c r="F23" s="9" t="s">
        <v>890</v>
      </c>
    </row>
    <row r="24" spans="1:8" ht="18" customHeight="1" x14ac:dyDescent="0.35">
      <c r="A24" s="13" t="s">
        <v>846</v>
      </c>
      <c r="B24" s="13" t="s">
        <v>891</v>
      </c>
      <c r="C24" s="13" t="s">
        <v>892</v>
      </c>
      <c r="D24" s="13" t="s">
        <v>888</v>
      </c>
      <c r="E24" s="13" t="s">
        <v>889</v>
      </c>
      <c r="F24" s="13" t="s">
        <v>893</v>
      </c>
    </row>
    <row r="25" spans="1:8" ht="18" customHeight="1" x14ac:dyDescent="0.35">
      <c r="A25" s="9" t="s">
        <v>846</v>
      </c>
      <c r="B25" s="9" t="s">
        <v>894</v>
      </c>
      <c r="C25" s="9" t="s">
        <v>617</v>
      </c>
      <c r="D25" s="9" t="s">
        <v>895</v>
      </c>
      <c r="E25" s="9" t="s">
        <v>896</v>
      </c>
      <c r="F25" s="9" t="s">
        <v>897</v>
      </c>
    </row>
    <row r="26" spans="1:8" ht="18" customHeight="1" x14ac:dyDescent="0.35">
      <c r="A26" s="13" t="s">
        <v>846</v>
      </c>
      <c r="B26" s="13" t="s">
        <v>898</v>
      </c>
      <c r="C26" s="13" t="s">
        <v>899</v>
      </c>
      <c r="D26" s="13" t="s">
        <v>900</v>
      </c>
      <c r="E26" s="13" t="s">
        <v>889</v>
      </c>
      <c r="F26" s="13" t="s">
        <v>901</v>
      </c>
    </row>
    <row r="27" spans="1:8" ht="18" customHeight="1" x14ac:dyDescent="0.35">
      <c r="A27" s="9" t="s">
        <v>846</v>
      </c>
      <c r="B27" s="9" t="s">
        <v>902</v>
      </c>
      <c r="C27" s="9" t="s">
        <v>903</v>
      </c>
      <c r="D27" s="9" t="s">
        <v>904</v>
      </c>
      <c r="E27" s="9" t="s">
        <v>905</v>
      </c>
      <c r="F27" s="9" t="s">
        <v>906</v>
      </c>
    </row>
    <row r="28" spans="1:8" ht="18" customHeight="1" x14ac:dyDescent="0.35"/>
    <row r="29" spans="1:8" ht="18" customHeight="1" x14ac:dyDescent="0.35">
      <c r="A29" s="49" t="s">
        <v>907</v>
      </c>
      <c r="B29" s="49"/>
      <c r="C29" s="49"/>
      <c r="D29" s="49"/>
      <c r="E29" s="49"/>
      <c r="F29" s="49"/>
      <c r="G29" s="49"/>
    </row>
    <row r="30" spans="1:8" ht="18" customHeight="1" x14ac:dyDescent="0.35">
      <c r="A30" s="6" t="s">
        <v>837</v>
      </c>
      <c r="B30" s="6" t="s">
        <v>864</v>
      </c>
      <c r="C30" s="6" t="s">
        <v>865</v>
      </c>
      <c r="D30" s="6" t="s">
        <v>908</v>
      </c>
      <c r="E30" s="6" t="s">
        <v>909</v>
      </c>
      <c r="F30" s="6" t="s">
        <v>139</v>
      </c>
    </row>
    <row r="31" spans="1:8" ht="18" customHeight="1" x14ac:dyDescent="0.35">
      <c r="A31" s="9" t="s">
        <v>850</v>
      </c>
      <c r="B31" s="9" t="s">
        <v>910</v>
      </c>
      <c r="C31" s="9" t="s">
        <v>911</v>
      </c>
      <c r="D31" s="35">
        <v>0.35</v>
      </c>
      <c r="E31" s="35">
        <v>2500</v>
      </c>
      <c r="F31" s="9" t="s">
        <v>912</v>
      </c>
    </row>
    <row r="32" spans="1:8" ht="18" customHeight="1" x14ac:dyDescent="0.35">
      <c r="A32" s="13" t="s">
        <v>850</v>
      </c>
      <c r="B32" s="13" t="s">
        <v>913</v>
      </c>
      <c r="C32" s="13" t="s">
        <v>614</v>
      </c>
      <c r="D32" s="36">
        <v>0.4</v>
      </c>
      <c r="E32" s="36">
        <v>3000</v>
      </c>
      <c r="F32" s="13" t="s">
        <v>914</v>
      </c>
    </row>
    <row r="33" spans="1:6" ht="18" customHeight="1" x14ac:dyDescent="0.35">
      <c r="A33" s="9" t="s">
        <v>850</v>
      </c>
      <c r="B33" s="9" t="s">
        <v>915</v>
      </c>
      <c r="C33" s="9" t="s">
        <v>895</v>
      </c>
      <c r="D33" s="35">
        <v>0.3</v>
      </c>
      <c r="E33" s="35">
        <v>3500</v>
      </c>
      <c r="F33" s="9" t="s">
        <v>916</v>
      </c>
    </row>
    <row r="34" spans="1:6" ht="18" customHeight="1" x14ac:dyDescent="0.35">
      <c r="A34" s="13" t="s">
        <v>850</v>
      </c>
      <c r="B34" s="13" t="s">
        <v>917</v>
      </c>
      <c r="C34" s="13" t="s">
        <v>301</v>
      </c>
      <c r="D34" s="36">
        <v>0.45</v>
      </c>
      <c r="E34" s="36">
        <v>2000</v>
      </c>
      <c r="F34" s="13" t="s">
        <v>918</v>
      </c>
    </row>
    <row r="35" spans="1:6" ht="18" customHeight="1" x14ac:dyDescent="0.35">
      <c r="A35" s="9" t="s">
        <v>850</v>
      </c>
      <c r="B35" s="9" t="s">
        <v>919</v>
      </c>
      <c r="C35" s="9" t="s">
        <v>346</v>
      </c>
      <c r="D35" s="35">
        <v>0.5</v>
      </c>
      <c r="E35" s="35">
        <v>8000</v>
      </c>
      <c r="F35" s="9" t="s">
        <v>920</v>
      </c>
    </row>
  </sheetData>
  <sheetProtection algorithmName="SHA-512" hashValue="k+bYFajPmXNdEQ5CHqi4GLXST1W3QcVVHjSSoiJHZDeky/kUiiOoNYDp1EJ8EHa1clctiO3I6NDUmZATZ9k6UA==" saltValue="jGrWMt47yGgQ4HIpeP3lpg==" spinCount="100000" sheet="1" objects="1" scenarios="1"/>
  <mergeCells count="6">
    <mergeCell ref="A29:G29"/>
    <mergeCell ref="A1:E1"/>
    <mergeCell ref="A2:E2"/>
    <mergeCell ref="A3:G3"/>
    <mergeCell ref="A10:G10"/>
    <mergeCell ref="A21:G21"/>
  </mergeCells>
  <hyperlinks>
    <hyperlink ref="G1" location="DMC_NAVIGATION!A1" display="🏠 Back to Home" xr:uid="{00000000-0004-0000-0F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N15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40" style="2" customWidth="1"/>
    <col min="2" max="2" width="17" style="2" customWidth="1"/>
    <col min="3" max="3" width="15" style="2" customWidth="1"/>
    <col min="4" max="4" width="17" style="2" customWidth="1"/>
    <col min="5" max="6" width="19" style="2" customWidth="1"/>
    <col min="7" max="7" width="14" style="2" customWidth="1"/>
    <col min="8" max="8" width="18" style="2" customWidth="1"/>
    <col min="9" max="9" width="22" style="2" customWidth="1"/>
    <col min="10" max="10" width="18" style="2" customWidth="1"/>
    <col min="11" max="11" width="19" style="2" customWidth="1"/>
    <col min="12" max="12" width="37" style="2" customWidth="1"/>
    <col min="13" max="13" width="8.6328125" style="2"/>
    <col min="14" max="14" width="18" style="2" customWidth="1"/>
    <col min="15" max="16384" width="8.6328125" style="2"/>
  </cols>
  <sheetData>
    <row r="1" spans="1:14" ht="25.5" customHeight="1" x14ac:dyDescent="0.35">
      <c r="A1" s="32" t="s">
        <v>921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N1" s="20" t="s">
        <v>88</v>
      </c>
    </row>
    <row r="2" spans="1:14" ht="19.5" customHeight="1" x14ac:dyDescent="0.35">
      <c r="A2" s="29" t="s">
        <v>922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4" ht="31.5" customHeight="1" x14ac:dyDescent="0.35">
      <c r="A3" s="33" t="s">
        <v>385</v>
      </c>
      <c r="B3" s="33" t="s">
        <v>923</v>
      </c>
      <c r="C3" s="33" t="s">
        <v>924</v>
      </c>
      <c r="D3" s="33" t="s">
        <v>925</v>
      </c>
      <c r="E3" s="33" t="s">
        <v>926</v>
      </c>
      <c r="F3" s="33" t="s">
        <v>927</v>
      </c>
      <c r="G3" s="33" t="s">
        <v>928</v>
      </c>
      <c r="H3" s="33" t="s">
        <v>929</v>
      </c>
      <c r="I3" s="33" t="s">
        <v>930</v>
      </c>
      <c r="J3" s="33" t="s">
        <v>931</v>
      </c>
      <c r="K3" s="33" t="s">
        <v>932</v>
      </c>
      <c r="L3" s="33" t="s">
        <v>933</v>
      </c>
    </row>
    <row r="4" spans="1:14" ht="18" customHeight="1" x14ac:dyDescent="0.35">
      <c r="A4" s="43" t="str">
        <f>TB_Clients_Master!A4</f>
        <v>CLI-001</v>
      </c>
      <c r="B4" s="41" t="str">
        <f>TB_Clients_Master!B4</f>
        <v>Alpine Sun Tours Group</v>
      </c>
      <c r="C4" s="41">
        <f>SUMIFS(TB_Master_Bookings!$M$4:$M$1000,TB_Master_Bookings!$B$4:$B$1000,A4)</f>
        <v>6722100</v>
      </c>
      <c r="D4" s="41">
        <f>-C4*IFERROR(INDEX(TB_Clients_Master!$J$4:$J$13,MATCH(A4,TB_Clients_Master!$A$4:$A$13,0)),0)</f>
        <v>0</v>
      </c>
      <c r="E4" s="41">
        <f t="shared" ref="E4:E13" si="0">C4+D4</f>
        <v>6722100</v>
      </c>
      <c r="F4" s="41">
        <f>-SUMIFS(TB_Master_Bookings!$P$4:$P$1000,TB_Master_Bookings!$B$4:$B$1000,A4)</f>
        <v>-5377680</v>
      </c>
      <c r="G4" s="41">
        <f>-SUMIFS(TB_Reps_Master!$E$4:$E$11,TB_Reps_Master!$L$4:$L$11,A4,TB_Reps_Master!$I$4:$I$11,"Active")</f>
        <v>-5000</v>
      </c>
      <c r="H4" s="41">
        <f>-SUMIFS(TB_Excursions_Sales!$P$4:$P$21,TB_Excursions_Sales!$R$4:$R$21,A4)</f>
        <v>-746.01599999999996</v>
      </c>
      <c r="I4" s="42">
        <f t="shared" ref="I4:I13" si="1">E4+F4+G4+H4</f>
        <v>1338673.9839999999</v>
      </c>
      <c r="J4" s="43">
        <f t="shared" ref="J4:J13" si="2">IF(E4=0,0,I4/E4)</f>
        <v>0.19914520521860726</v>
      </c>
      <c r="K4" s="43" t="str">
        <f t="shared" ref="K4:K13" si="3">IF(J4&gt;=0.5,"🟢 Excellent",IF(J4&gt;=0.3,"🟡 Good",IF(J4&gt;=0.15,"🟠 Watch","🔴 Critical")))</f>
        <v>🟠 Watch</v>
      </c>
      <c r="L4" s="43" t="str">
        <f t="shared" ref="L4:L13" si="4">IF(J4&lt;0.1,"Urgent Review Required",IF(J4&lt;0.2,"Collect AR &amp; Optimize Cost","Maintain &amp; Expand Market"))</f>
        <v>Collect AR &amp; Optimize Cost</v>
      </c>
    </row>
    <row r="5" spans="1:14" ht="18" customHeight="1" x14ac:dyDescent="0.35">
      <c r="A5" s="43" t="str">
        <f>TB_Clients_Master!A5</f>
        <v>CLI-002</v>
      </c>
      <c r="B5" s="41" t="str">
        <f>TB_Clients_Master!B5</f>
        <v>Nordic Wave DMC</v>
      </c>
      <c r="C5" s="41">
        <f>SUMIFS(TB_Master_Bookings!$M$4:$M$1000,TB_Master_Bookings!$B$4:$B$1000,A5)</f>
        <v>1268769.5999999999</v>
      </c>
      <c r="D5" s="41">
        <f>-C5*IFERROR(INDEX(TB_Clients_Master!$J$4:$J$13,MATCH(A5,TB_Clients_Master!$A$4:$A$13,0)),0)</f>
        <v>0</v>
      </c>
      <c r="E5" s="41">
        <f t="shared" si="0"/>
        <v>1268769.5999999999</v>
      </c>
      <c r="F5" s="41">
        <f>-SUMIFS(TB_Master_Bookings!$P$4:$P$1000,TB_Master_Bookings!$B$4:$B$1000,A5)</f>
        <v>-1005732</v>
      </c>
      <c r="G5" s="41">
        <f>-SUMIFS(TB_Reps_Master!$E$4:$E$11,TB_Reps_Master!$L$4:$L$11,A5,TB_Reps_Master!$I$4:$I$11,"Active")</f>
        <v>-5000</v>
      </c>
      <c r="H5" s="41">
        <f>-SUMIFS(TB_Excursions_Sales!$P$4:$P$21,TB_Excursions_Sales!$R$4:$R$21,A5)</f>
        <v>-746.01599999999996</v>
      </c>
      <c r="I5" s="42">
        <f t="shared" si="1"/>
        <v>257291.58399999986</v>
      </c>
      <c r="J5" s="43">
        <f t="shared" si="2"/>
        <v>0.20278826352712098</v>
      </c>
      <c r="K5" s="43" t="str">
        <f t="shared" si="3"/>
        <v>🟠 Watch</v>
      </c>
      <c r="L5" s="43" t="str">
        <f t="shared" si="4"/>
        <v>Maintain &amp; Expand Market</v>
      </c>
    </row>
    <row r="6" spans="1:14" ht="18" customHeight="1" x14ac:dyDescent="0.35">
      <c r="A6" s="43" t="str">
        <f>TB_Clients_Master!A6</f>
        <v>CLI-003</v>
      </c>
      <c r="B6" s="41" t="str">
        <f>TB_Clients_Master!B6</f>
        <v>BritSun Holidays</v>
      </c>
      <c r="C6" s="41">
        <f>SUMIFS(TB_Master_Bookings!$M$4:$M$1000,TB_Master_Bookings!$B$4:$B$1000,A6)</f>
        <v>1020474</v>
      </c>
      <c r="D6" s="41">
        <f>-C6*IFERROR(INDEX(TB_Clients_Master!$J$4:$J$13,MATCH(A6,TB_Clients_Master!$A$4:$A$13,0)),0)</f>
        <v>0</v>
      </c>
      <c r="E6" s="41">
        <f t="shared" si="0"/>
        <v>1020474</v>
      </c>
      <c r="F6" s="41">
        <f>-SUMIFS(TB_Master_Bookings!$P$4:$P$1000,TB_Master_Bookings!$B$4:$B$1000,A6)</f>
        <v>-811146</v>
      </c>
      <c r="G6" s="41">
        <f>-SUMIFS(TB_Reps_Master!$E$4:$E$11,TB_Reps_Master!$L$4:$L$11,A6,TB_Reps_Master!$I$4:$I$11,"Active")</f>
        <v>-5000</v>
      </c>
      <c r="H6" s="41">
        <f>-SUMIFS(TB_Excursions_Sales!$P$4:$P$21,TB_Excursions_Sales!$R$4:$R$21,A6)</f>
        <v>-665.005</v>
      </c>
      <c r="I6" s="42">
        <f t="shared" si="1"/>
        <v>203662.995</v>
      </c>
      <c r="J6" s="43">
        <f t="shared" si="2"/>
        <v>0.19957685840109596</v>
      </c>
      <c r="K6" s="43" t="str">
        <f t="shared" si="3"/>
        <v>🟠 Watch</v>
      </c>
      <c r="L6" s="43" t="str">
        <f t="shared" si="4"/>
        <v>Collect AR &amp; Optimize Cost</v>
      </c>
    </row>
    <row r="7" spans="1:14" ht="18" customHeight="1" x14ac:dyDescent="0.35">
      <c r="A7" s="43" t="str">
        <f>TB_Clients_Master!A7</f>
        <v>CLI-004</v>
      </c>
      <c r="B7" s="41" t="str">
        <f>TB_Clients_Master!B7</f>
        <v>Meridian Voyages</v>
      </c>
      <c r="C7" s="41">
        <f>SUMIFS(TB_Master_Bookings!$M$4:$M$1000,TB_Master_Bookings!$B$4:$B$1000,A7)</f>
        <v>1153440</v>
      </c>
      <c r="D7" s="41">
        <f>-C7*IFERROR(INDEX(TB_Clients_Master!$J$4:$J$13,MATCH(A7,TB_Clients_Master!$A$4:$A$13,0)),0)</f>
        <v>0</v>
      </c>
      <c r="E7" s="41">
        <f t="shared" si="0"/>
        <v>1153440</v>
      </c>
      <c r="F7" s="41">
        <f>-SUMIFS(TB_Master_Bookings!$P$4:$P$1000,TB_Master_Bookings!$B$4:$B$1000,A7)</f>
        <v>-922752</v>
      </c>
      <c r="G7" s="41">
        <f>-SUMIFS(TB_Reps_Master!$E$4:$E$11,TB_Reps_Master!$L$4:$L$11,A7,TB_Reps_Master!$I$4:$I$11,"Active")</f>
        <v>-5000</v>
      </c>
      <c r="H7" s="41">
        <f>-SUMIFS(TB_Excursions_Sales!$P$4:$P$21,TB_Excursions_Sales!$R$4:$R$21,A7)</f>
        <v>-480.15000000000003</v>
      </c>
      <c r="I7" s="42">
        <f t="shared" si="1"/>
        <v>225207.85</v>
      </c>
      <c r="J7" s="43">
        <f t="shared" si="2"/>
        <v>0.19524886426688862</v>
      </c>
      <c r="K7" s="43" t="str">
        <f t="shared" si="3"/>
        <v>🟠 Watch</v>
      </c>
      <c r="L7" s="43" t="str">
        <f t="shared" si="4"/>
        <v>Collect AR &amp; Optimize Cost</v>
      </c>
    </row>
    <row r="8" spans="1:14" ht="18" customHeight="1" x14ac:dyDescent="0.35">
      <c r="A8" s="43" t="str">
        <f>TB_Clients_Master!A8</f>
        <v>CLI-005</v>
      </c>
      <c r="B8" s="41" t="str">
        <f>TB_Clients_Master!B8</f>
        <v>Red Sea Direct Bookings</v>
      </c>
      <c r="C8" s="41">
        <f>SUMIFS(TB_Master_Bookings!$M$4:$M$1000,TB_Master_Bookings!$B$4:$B$1000,A8)</f>
        <v>2260121.6000000001</v>
      </c>
      <c r="D8" s="41">
        <f>-C8*IFERROR(INDEX(TB_Clients_Master!$J$4:$J$13,MATCH(A8,TB_Clients_Master!$A$4:$A$13,0)),0)</f>
        <v>0</v>
      </c>
      <c r="E8" s="41">
        <f t="shared" si="0"/>
        <v>2260121.6000000001</v>
      </c>
      <c r="F8" s="41">
        <f>-SUMIFS(TB_Master_Bookings!$P$4:$P$1000,TB_Master_Bookings!$B$4:$B$1000,A8)</f>
        <v>-1806918.4</v>
      </c>
      <c r="G8" s="41">
        <f>-SUMIFS(TB_Reps_Master!$E$4:$E$11,TB_Reps_Master!$L$4:$L$11,A8,TB_Reps_Master!$I$4:$I$11,"Active")</f>
        <v>0</v>
      </c>
      <c r="H8" s="41">
        <f>-SUMIFS(TB_Excursions_Sales!$P$4:$P$21,TB_Excursions_Sales!$R$4:$R$21,A8)</f>
        <v>0</v>
      </c>
      <c r="I8" s="42">
        <f t="shared" si="1"/>
        <v>453203.20000000019</v>
      </c>
      <c r="J8" s="43">
        <f t="shared" si="2"/>
        <v>0.20052160025372093</v>
      </c>
      <c r="K8" s="43" t="str">
        <f t="shared" si="3"/>
        <v>🟠 Watch</v>
      </c>
      <c r="L8" s="43" t="str">
        <f t="shared" si="4"/>
        <v>Maintain &amp; Expand Market</v>
      </c>
    </row>
    <row r="9" spans="1:14" ht="18" customHeight="1" x14ac:dyDescent="0.35">
      <c r="A9" s="43" t="str">
        <f>TB_Clients_Master!A9</f>
        <v>CLI-006</v>
      </c>
      <c r="B9" s="41" t="str">
        <f>TB_Clients_Master!B9</f>
        <v>EuroSun Tours</v>
      </c>
      <c r="C9" s="41">
        <f>SUMIFS(TB_Master_Bookings!$M$4:$M$1000,TB_Master_Bookings!$B$4:$B$1000,A9)</f>
        <v>7208600</v>
      </c>
      <c r="D9" s="41">
        <f>-C9*IFERROR(INDEX(TB_Clients_Master!$J$4:$J$13,MATCH(A9,TB_Clients_Master!$A$4:$A$13,0)),0)</f>
        <v>0</v>
      </c>
      <c r="E9" s="41">
        <f t="shared" si="0"/>
        <v>7208600</v>
      </c>
      <c r="F9" s="41">
        <f>-SUMIFS(TB_Master_Bookings!$P$4:$P$1000,TB_Master_Bookings!$B$4:$B$1000,A9)</f>
        <v>-5766880</v>
      </c>
      <c r="G9" s="41">
        <f>-SUMIFS(TB_Reps_Master!$E$4:$E$11,TB_Reps_Master!$L$4:$L$11,A9,TB_Reps_Master!$I$4:$I$11,"Active")</f>
        <v>-5500</v>
      </c>
      <c r="H9" s="41">
        <f>-SUMIFS(TB_Excursions_Sales!$P$4:$P$21,TB_Excursions_Sales!$R$4:$R$21,A9)</f>
        <v>-1270.8600000000001</v>
      </c>
      <c r="I9" s="42">
        <f t="shared" si="1"/>
        <v>1434949.14</v>
      </c>
      <c r="J9" s="43">
        <f t="shared" si="2"/>
        <v>0.19906072468995364</v>
      </c>
      <c r="K9" s="43" t="str">
        <f t="shared" si="3"/>
        <v>🟠 Watch</v>
      </c>
      <c r="L9" s="43" t="str">
        <f t="shared" si="4"/>
        <v>Collect AR &amp; Optimize Cost</v>
      </c>
    </row>
    <row r="10" spans="1:14" ht="18" customHeight="1" x14ac:dyDescent="0.35">
      <c r="A10" s="43" t="str">
        <f>TB_Clients_Master!A10</f>
        <v>CLI-007</v>
      </c>
      <c r="B10" s="41" t="str">
        <f>TB_Clients_Master!B10</f>
        <v>Nile Breeze</v>
      </c>
      <c r="C10" s="41">
        <f>SUMIFS(TB_Master_Bookings!$M$4:$M$1000,TB_Master_Bookings!$B$4:$B$1000,A10)</f>
        <v>1190595</v>
      </c>
      <c r="D10" s="41">
        <f>-C10*IFERROR(INDEX(TB_Clients_Master!$J$4:$J$13,MATCH(A10,TB_Clients_Master!$A$4:$A$13,0)),0)</f>
        <v>0</v>
      </c>
      <c r="E10" s="41">
        <f t="shared" si="0"/>
        <v>1190595</v>
      </c>
      <c r="F10" s="41">
        <f>-SUMIFS(TB_Master_Bookings!$P$4:$P$1000,TB_Master_Bookings!$B$4:$B$1000,A10)</f>
        <v>-952476</v>
      </c>
      <c r="G10" s="41">
        <f>-SUMIFS(TB_Reps_Master!$E$4:$E$11,TB_Reps_Master!$L$4:$L$11,A10,TB_Reps_Master!$I$4:$I$11,"Active")</f>
        <v>-5500</v>
      </c>
      <c r="H10" s="41">
        <f>-SUMIFS(TB_Excursions_Sales!$P$4:$P$21,TB_Excursions_Sales!$R$4:$R$21,A10)</f>
        <v>0</v>
      </c>
      <c r="I10" s="42">
        <f t="shared" si="1"/>
        <v>232619</v>
      </c>
      <c r="J10" s="43">
        <f t="shared" si="2"/>
        <v>0.19538046102998921</v>
      </c>
      <c r="K10" s="43" t="str">
        <f t="shared" si="3"/>
        <v>🟠 Watch</v>
      </c>
      <c r="L10" s="43" t="str">
        <f t="shared" si="4"/>
        <v>Collect AR &amp; Optimize Cost</v>
      </c>
    </row>
    <row r="11" spans="1:14" ht="18" customHeight="1" x14ac:dyDescent="0.35">
      <c r="A11" s="43" t="str">
        <f>TB_Clients_Master!A11</f>
        <v>CLI-008</v>
      </c>
      <c r="B11" s="41" t="str">
        <f>TB_Clients_Master!B11</f>
        <v>London Escape</v>
      </c>
      <c r="C11" s="41">
        <f>SUMIFS(TB_Master_Bookings!$M$4:$M$1000,TB_Master_Bookings!$B$4:$B$1000,A11)</f>
        <v>1376320</v>
      </c>
      <c r="D11" s="41">
        <f>-C11*IFERROR(INDEX(TB_Clients_Master!$J$4:$J$13,MATCH(A11,TB_Clients_Master!$A$4:$A$13,0)),0)</f>
        <v>0</v>
      </c>
      <c r="E11" s="41">
        <f t="shared" si="0"/>
        <v>1376320</v>
      </c>
      <c r="F11" s="41">
        <f>-SUMIFS(TB_Master_Bookings!$P$4:$P$1000,TB_Master_Bookings!$B$4:$B$1000,A11)</f>
        <v>-1101056</v>
      </c>
      <c r="G11" s="41">
        <f>-SUMIFS(TB_Reps_Master!$E$4:$E$11,TB_Reps_Master!$L$4:$L$11,A11,TB_Reps_Master!$I$4:$I$11,"Active")</f>
        <v>-5500</v>
      </c>
      <c r="H11" s="41">
        <f>-SUMIFS(TB_Excursions_Sales!$P$4:$P$21,TB_Excursions_Sales!$R$4:$R$21,A11)</f>
        <v>-819.28</v>
      </c>
      <c r="I11" s="42">
        <f t="shared" si="1"/>
        <v>268944.71999999997</v>
      </c>
      <c r="J11" s="43">
        <f t="shared" si="2"/>
        <v>0.19540856777493604</v>
      </c>
      <c r="K11" s="43" t="str">
        <f t="shared" si="3"/>
        <v>🟠 Watch</v>
      </c>
      <c r="L11" s="43" t="str">
        <f t="shared" si="4"/>
        <v>Collect AR &amp; Optimize Cost</v>
      </c>
    </row>
    <row r="12" spans="1:14" ht="18" customHeight="1" x14ac:dyDescent="0.35">
      <c r="A12" s="43" t="str">
        <f>TB_Clients_Master!A12</f>
        <v>CLI-009</v>
      </c>
      <c r="B12" s="41" t="str">
        <f>TB_Clients_Master!B12</f>
        <v>Gulf Adventures</v>
      </c>
      <c r="C12" s="41">
        <f>SUMIFS(TB_Master_Bookings!$M$4:$M$1000,TB_Master_Bookings!$B$4:$B$1000,A12)</f>
        <v>2070599.9999999998</v>
      </c>
      <c r="D12" s="41">
        <f>-C12*IFERROR(INDEX(TB_Clients_Master!$J$4:$J$13,MATCH(A12,TB_Clients_Master!$A$4:$A$13,0)),0)</f>
        <v>0</v>
      </c>
      <c r="E12" s="41">
        <f t="shared" si="0"/>
        <v>2070599.9999999998</v>
      </c>
      <c r="F12" s="41">
        <f>-SUMIFS(TB_Master_Bookings!$P$4:$P$1000,TB_Master_Bookings!$B$4:$B$1000,A12)</f>
        <v>-1656480</v>
      </c>
      <c r="G12" s="41">
        <f>-SUMIFS(TB_Reps_Master!$E$4:$E$11,TB_Reps_Master!$L$4:$L$11,A12,TB_Reps_Master!$I$4:$I$11,"Active")</f>
        <v>0</v>
      </c>
      <c r="H12" s="41">
        <f>-SUMIFS(TB_Excursions_Sales!$P$4:$P$21,TB_Excursions_Sales!$R$4:$R$21,A12)</f>
        <v>0</v>
      </c>
      <c r="I12" s="42">
        <f t="shared" si="1"/>
        <v>414119.99999999977</v>
      </c>
      <c r="J12" s="43">
        <f t="shared" si="2"/>
        <v>0.1999999999999999</v>
      </c>
      <c r="K12" s="43" t="str">
        <f t="shared" si="3"/>
        <v>🟠 Watch</v>
      </c>
      <c r="L12" s="43" t="str">
        <f t="shared" si="4"/>
        <v>Maintain &amp; Expand Market</v>
      </c>
    </row>
    <row r="13" spans="1:14" ht="18" customHeight="1" x14ac:dyDescent="0.35">
      <c r="A13" s="43" t="str">
        <f>TB_Clients_Master!A13</f>
        <v>CLI-010</v>
      </c>
      <c r="B13" s="41" t="str">
        <f>TB_Clients_Master!B13</f>
        <v>SunSeeker Travel</v>
      </c>
      <c r="C13" s="41">
        <f>SUMIFS(TB_Master_Bookings!$M$4:$M$1000,TB_Master_Bookings!$B$4:$B$1000,A13)</f>
        <v>2846200</v>
      </c>
      <c r="D13" s="41">
        <f>-C13*IFERROR(INDEX(TB_Clients_Master!$J$4:$J$13,MATCH(A13,TB_Clients_Master!$A$4:$A$13,0)),0)</f>
        <v>0</v>
      </c>
      <c r="E13" s="41">
        <f t="shared" si="0"/>
        <v>2846200</v>
      </c>
      <c r="F13" s="41">
        <f>-SUMIFS(TB_Master_Bookings!$P$4:$P$1000,TB_Master_Bookings!$B$4:$B$1000,A13)</f>
        <v>0</v>
      </c>
      <c r="G13" s="41">
        <f>-SUMIFS(TB_Reps_Master!$E$4:$E$11,TB_Reps_Master!$L$4:$L$11,A13,TB_Reps_Master!$I$4:$I$11,"Active")</f>
        <v>0</v>
      </c>
      <c r="H13" s="41">
        <f>-SUMIFS(TB_Excursions_Sales!$P$4:$P$21,TB_Excursions_Sales!$R$4:$R$21,A13)</f>
        <v>0</v>
      </c>
      <c r="I13" s="42">
        <f t="shared" si="1"/>
        <v>2846200</v>
      </c>
      <c r="J13" s="43">
        <f t="shared" si="2"/>
        <v>1</v>
      </c>
      <c r="K13" s="43" t="str">
        <f t="shared" si="3"/>
        <v>🟢 Excellent</v>
      </c>
      <c r="L13" s="43" t="str">
        <f t="shared" si="4"/>
        <v>Maintain &amp; Expand Market</v>
      </c>
    </row>
    <row r="14" spans="1:14" ht="18" customHeight="1" x14ac:dyDescent="0.35">
      <c r="A14" s="9" t="s">
        <v>934</v>
      </c>
      <c r="B14" s="35"/>
      <c r="C14" s="41">
        <f t="shared" ref="C14:J14" si="5">SUM(C4:C13)</f>
        <v>27117220.199999999</v>
      </c>
      <c r="D14" s="41">
        <f t="shared" si="5"/>
        <v>0</v>
      </c>
      <c r="E14" s="41">
        <f t="shared" si="5"/>
        <v>27117220.199999999</v>
      </c>
      <c r="F14" s="41">
        <f t="shared" si="5"/>
        <v>-19401120.399999999</v>
      </c>
      <c r="G14" s="41">
        <f t="shared" si="5"/>
        <v>-36500</v>
      </c>
      <c r="H14" s="41">
        <f t="shared" si="5"/>
        <v>-4727.3270000000002</v>
      </c>
      <c r="I14" s="42">
        <f t="shared" si="5"/>
        <v>7674872.4729999993</v>
      </c>
      <c r="J14" s="43">
        <f t="shared" si="5"/>
        <v>2.7871305451623125</v>
      </c>
      <c r="K14" s="9"/>
      <c r="L14" s="9"/>
    </row>
    <row r="15" spans="1:14" ht="18" customHeight="1" x14ac:dyDescent="0.35">
      <c r="A15" s="50"/>
      <c r="B15" s="50"/>
      <c r="C15" s="50"/>
      <c r="D15" s="50"/>
      <c r="E15" s="50"/>
      <c r="F15" s="50"/>
      <c r="G15" s="50"/>
      <c r="H15" s="50"/>
      <c r="I15" s="51"/>
    </row>
  </sheetData>
  <sheetProtection algorithmName="SHA-512" hashValue="8UxOGJPKT58Y0BvMrO7Q5q0i0WtbVzXnoZlf+9B2lJ/QlRP9+qTJ/rsLk1qANjBUv3eVZGa5WSaV6TE7ry1s+w==" saltValue="oIdHmiCnnkGwKVE9FD4PUg==" spinCount="100000" sheet="1" objects="1" scenarios="1"/>
  <mergeCells count="2">
    <mergeCell ref="A1:L1"/>
    <mergeCell ref="A2:L2"/>
  </mergeCells>
  <dataValidations count="2">
    <dataValidation type="list" sqref="J4:J100" xr:uid="{00000000-0002-0000-1000-000000000000}">
      <formula1>"🟢 Excellent,🟡 Good,🟠 Watch,🔴 Critical"</formula1>
      <formula2>0</formula2>
    </dataValidation>
    <dataValidation type="list" sqref="K4:K100" xr:uid="{00000000-0002-0000-1000-000001000000}">
      <formula1>"Maintain,Monitor,Review Pricing,Collect AR,Scale Up,Invoice &amp; Collect,Terminate"</formula1>
      <formula2>0</formula2>
    </dataValidation>
  </dataValidations>
  <hyperlinks>
    <hyperlink ref="N1" location="DMC_NAVIGATION!A1" display="🏠 Back to Home" xr:uid="{00000000-0004-0000-1000-000000000000}"/>
  </hyperlink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K14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9" width="8.6328125" style="2"/>
    <col min="10" max="10" width="16" style="2" customWidth="1"/>
    <col min="11" max="11" width="18" style="2" customWidth="1"/>
    <col min="12" max="16384" width="8.6328125" style="2"/>
  </cols>
  <sheetData>
    <row r="1" spans="1:11" ht="25.5" customHeight="1" x14ac:dyDescent="0.35">
      <c r="A1" s="26" t="s">
        <v>935</v>
      </c>
      <c r="B1" s="26"/>
      <c r="C1" s="26"/>
      <c r="D1" s="26"/>
      <c r="E1" s="26"/>
      <c r="F1" s="26"/>
      <c r="G1" s="26"/>
      <c r="H1" s="26"/>
      <c r="J1" s="27" t="s">
        <v>88</v>
      </c>
      <c r="K1" s="52"/>
    </row>
    <row r="2" spans="1:11" ht="19.5" customHeight="1" x14ac:dyDescent="0.35">
      <c r="A2" s="53" t="s">
        <v>936</v>
      </c>
      <c r="B2" s="53"/>
      <c r="C2" s="53"/>
      <c r="D2" s="53"/>
      <c r="E2" s="53"/>
      <c r="F2" s="53"/>
      <c r="G2" s="53"/>
      <c r="H2" s="53"/>
      <c r="K2" s="28"/>
    </row>
    <row r="3" spans="1:11" ht="27.75" customHeight="1" x14ac:dyDescent="0.35">
      <c r="A3" s="54" t="s">
        <v>937</v>
      </c>
      <c r="B3" s="54"/>
      <c r="C3" s="54"/>
      <c r="D3" s="54"/>
      <c r="E3" s="54"/>
      <c r="F3" s="54"/>
      <c r="G3" s="54"/>
      <c r="H3" s="54"/>
      <c r="I3" s="54"/>
    </row>
    <row r="4" spans="1:11" ht="229.5" customHeight="1" x14ac:dyDescent="0.35">
      <c r="A4" s="55" t="s">
        <v>938</v>
      </c>
    </row>
    <row r="5" spans="1:11" ht="15" customHeight="1" x14ac:dyDescent="0.35">
      <c r="A5" s="56"/>
      <c r="B5" s="56"/>
      <c r="C5" s="56"/>
      <c r="D5" s="56"/>
      <c r="E5" s="56"/>
      <c r="F5" s="56"/>
      <c r="G5" s="56"/>
      <c r="H5" s="56"/>
      <c r="I5" s="56"/>
    </row>
    <row r="6" spans="1:11" ht="173.25" customHeight="1" x14ac:dyDescent="0.35">
      <c r="A6" s="57" t="s">
        <v>939</v>
      </c>
    </row>
    <row r="7" spans="1:11" ht="31.5" customHeight="1" x14ac:dyDescent="0.35">
      <c r="A7" s="33" t="s">
        <v>136</v>
      </c>
      <c r="B7" s="33" t="s">
        <v>137</v>
      </c>
      <c r="C7" s="33" t="s">
        <v>940</v>
      </c>
      <c r="D7" s="33" t="s">
        <v>941</v>
      </c>
      <c r="E7" s="33" t="s">
        <v>7</v>
      </c>
      <c r="F7" s="33" t="s">
        <v>942</v>
      </c>
      <c r="G7" s="33" t="s">
        <v>943</v>
      </c>
      <c r="H7" s="33" t="s">
        <v>944</v>
      </c>
    </row>
    <row r="8" spans="1:11" ht="68.25" customHeight="1" x14ac:dyDescent="0.35">
      <c r="A8" s="9" t="s">
        <v>945</v>
      </c>
      <c r="B8" s="9" t="s">
        <v>946</v>
      </c>
      <c r="C8" s="9" t="s">
        <v>828</v>
      </c>
      <c r="D8" s="9" t="s">
        <v>947</v>
      </c>
      <c r="E8" s="58" t="s">
        <v>948</v>
      </c>
      <c r="F8" s="9" t="s">
        <v>949</v>
      </c>
      <c r="G8" s="9" t="s">
        <v>169</v>
      </c>
      <c r="H8" s="9" t="s">
        <v>950</v>
      </c>
    </row>
    <row r="9" spans="1:11" ht="79.5" customHeight="1" x14ac:dyDescent="0.35">
      <c r="A9" s="13" t="s">
        <v>951</v>
      </c>
      <c r="B9" s="13" t="s">
        <v>952</v>
      </c>
      <c r="C9" s="13" t="s">
        <v>9</v>
      </c>
      <c r="D9" s="13" t="s">
        <v>953</v>
      </c>
      <c r="E9" s="59" t="s">
        <v>948</v>
      </c>
      <c r="F9" s="13" t="s">
        <v>954</v>
      </c>
      <c r="G9" s="13" t="s">
        <v>173</v>
      </c>
      <c r="H9" s="13" t="s">
        <v>955</v>
      </c>
    </row>
    <row r="10" spans="1:11" ht="90.75" customHeight="1" x14ac:dyDescent="0.35">
      <c r="A10" s="9" t="s">
        <v>956</v>
      </c>
      <c r="B10" s="9" t="s">
        <v>957</v>
      </c>
      <c r="C10" s="9" t="s">
        <v>9</v>
      </c>
      <c r="D10" s="9" t="s">
        <v>958</v>
      </c>
      <c r="E10" s="58" t="s">
        <v>948</v>
      </c>
      <c r="F10" s="9" t="s">
        <v>954</v>
      </c>
      <c r="G10" s="9" t="s">
        <v>169</v>
      </c>
      <c r="H10" s="9" t="s">
        <v>959</v>
      </c>
    </row>
    <row r="11" spans="1:11" ht="79.5" customHeight="1" x14ac:dyDescent="0.35">
      <c r="A11" s="13" t="s">
        <v>960</v>
      </c>
      <c r="B11" s="13" t="s">
        <v>961</v>
      </c>
      <c r="C11" s="13" t="s">
        <v>962</v>
      </c>
      <c r="D11" s="13" t="s">
        <v>963</v>
      </c>
      <c r="E11" s="59" t="s">
        <v>948</v>
      </c>
      <c r="F11" s="13" t="s">
        <v>949</v>
      </c>
      <c r="G11" s="13" t="s">
        <v>170</v>
      </c>
      <c r="H11" s="13" t="s">
        <v>959</v>
      </c>
    </row>
    <row r="12" spans="1:11" ht="102" customHeight="1" x14ac:dyDescent="0.35">
      <c r="A12" s="9" t="s">
        <v>964</v>
      </c>
      <c r="B12" s="9" t="s">
        <v>965</v>
      </c>
      <c r="C12" s="9" t="s">
        <v>828</v>
      </c>
      <c r="D12" s="9" t="s">
        <v>966</v>
      </c>
      <c r="E12" s="58" t="s">
        <v>948</v>
      </c>
      <c r="F12" s="9" t="s">
        <v>954</v>
      </c>
      <c r="G12" s="9" t="s">
        <v>173</v>
      </c>
      <c r="H12" s="9" t="s">
        <v>967</v>
      </c>
    </row>
    <row r="13" spans="1:11" ht="18" customHeight="1" x14ac:dyDescent="0.35">
      <c r="A13" s="56"/>
      <c r="B13" s="56"/>
      <c r="C13" s="56"/>
      <c r="D13" s="56"/>
      <c r="E13" s="56"/>
      <c r="F13" s="56"/>
      <c r="G13" s="56"/>
      <c r="H13" s="56"/>
      <c r="I13" s="56"/>
    </row>
    <row r="14" spans="1:11" ht="15.75" customHeight="1" x14ac:dyDescent="0.4">
      <c r="A14" s="60" t="s">
        <v>968</v>
      </c>
    </row>
  </sheetData>
  <sheetProtection algorithmName="SHA-512" hashValue="Az9XSz2KdkNaQFVI+6dJNBcAGVXaD0XOWHvO6syNYrWhVwI1sdDBKNV5q1pXDIPElim1aOsIAG+0zwjVeOxjFw==" saltValue="8eMJFYyUZ2vclWiUWbbSlw==" spinCount="100000" sheet="1" objects="1" scenarios="1"/>
  <mergeCells count="5">
    <mergeCell ref="A1:H1"/>
    <mergeCell ref="A2:H2"/>
    <mergeCell ref="A3:I3"/>
    <mergeCell ref="A5:I5"/>
    <mergeCell ref="A13:I13"/>
  </mergeCells>
  <hyperlinks>
    <hyperlink ref="J1" location="DMC_NAVIGATION!A1" display="🏠 Back to Home" xr:uid="{00000000-0004-0000-11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L50"/>
  <sheetViews>
    <sheetView topLeftCell="C1" zoomScaleNormal="100" workbookViewId="0">
      <pane ySplit="3" topLeftCell="A4" activePane="bottomLeft" state="frozen"/>
      <selection pane="bottomLeft" activeCell="I1" sqref="I1"/>
    </sheetView>
  </sheetViews>
  <sheetFormatPr defaultColWidth="8.6328125" defaultRowHeight="14.5" x14ac:dyDescent="0.35"/>
  <cols>
    <col min="1" max="1" width="45" style="2" customWidth="1"/>
    <col min="2" max="2" width="40" style="2" customWidth="1"/>
    <col min="3" max="3" width="16" style="2" customWidth="1"/>
    <col min="4" max="4" width="22" style="2" customWidth="1"/>
    <col min="5" max="5" width="14" style="2" customWidth="1"/>
    <col min="6" max="7" width="10" style="2" customWidth="1"/>
    <col min="8" max="8" width="18" style="2" customWidth="1"/>
    <col min="9" max="9" width="16" style="2" customWidth="1"/>
    <col min="10" max="10" width="45" style="2" customWidth="1"/>
    <col min="11" max="11" width="8" style="2" customWidth="1"/>
    <col min="12" max="12" width="16" style="2" customWidth="1"/>
    <col min="13" max="16384" width="8.6328125" style="2"/>
  </cols>
  <sheetData>
    <row r="1" spans="1:12" ht="25.5" customHeight="1" x14ac:dyDescent="0.35">
      <c r="A1" s="32" t="s">
        <v>969</v>
      </c>
      <c r="B1" s="32"/>
      <c r="C1" s="32"/>
      <c r="D1" s="32"/>
      <c r="E1" s="32"/>
      <c r="F1" s="32"/>
      <c r="G1" s="32"/>
      <c r="I1" s="27" t="s">
        <v>88</v>
      </c>
      <c r="L1" s="52"/>
    </row>
    <row r="2" spans="1:12" ht="19.5" customHeight="1" x14ac:dyDescent="0.35">
      <c r="A2" s="29" t="s">
        <v>970</v>
      </c>
      <c r="B2" s="29"/>
      <c r="C2" s="29"/>
      <c r="D2" s="29"/>
      <c r="E2" s="29"/>
      <c r="F2" s="29"/>
      <c r="G2" s="29"/>
    </row>
    <row r="3" spans="1:12" ht="15" customHeight="1" x14ac:dyDescent="0.35">
      <c r="A3" s="47" t="s">
        <v>971</v>
      </c>
      <c r="B3" s="47"/>
      <c r="C3" s="47"/>
      <c r="D3" s="47"/>
      <c r="E3" s="47"/>
      <c r="F3" s="47"/>
      <c r="G3" s="47"/>
      <c r="H3" s="47"/>
      <c r="I3" s="47"/>
      <c r="J3" s="47"/>
    </row>
    <row r="4" spans="1:12" ht="31.5" customHeight="1" x14ac:dyDescent="0.35">
      <c r="A4" s="33" t="s">
        <v>697</v>
      </c>
      <c r="B4" s="33" t="s">
        <v>698</v>
      </c>
      <c r="C4" s="33" t="s">
        <v>699</v>
      </c>
      <c r="D4" s="33" t="s">
        <v>972</v>
      </c>
      <c r="E4" s="33" t="s">
        <v>248</v>
      </c>
      <c r="F4" s="33" t="s">
        <v>253</v>
      </c>
      <c r="G4" s="33" t="s">
        <v>973</v>
      </c>
    </row>
    <row r="5" spans="1:12" ht="18" customHeight="1" x14ac:dyDescent="0.35">
      <c r="A5" s="61" t="s">
        <v>974</v>
      </c>
      <c r="B5" s="61" t="s">
        <v>975</v>
      </c>
      <c r="C5" s="61" t="s">
        <v>976</v>
      </c>
      <c r="D5" s="61" t="s">
        <v>140</v>
      </c>
      <c r="E5" s="61" t="s">
        <v>977</v>
      </c>
      <c r="F5" s="61" t="s">
        <v>265</v>
      </c>
      <c r="G5" s="61" t="s">
        <v>978</v>
      </c>
    </row>
    <row r="6" spans="1:12" ht="18" customHeight="1" x14ac:dyDescent="0.35">
      <c r="A6" s="61" t="s">
        <v>979</v>
      </c>
      <c r="B6" s="61" t="s">
        <v>980</v>
      </c>
      <c r="C6" s="61" t="s">
        <v>976</v>
      </c>
      <c r="D6" s="61" t="s">
        <v>140</v>
      </c>
      <c r="E6" s="61" t="s">
        <v>977</v>
      </c>
      <c r="F6" s="61" t="s">
        <v>981</v>
      </c>
      <c r="G6" s="61" t="s">
        <v>978</v>
      </c>
    </row>
    <row r="7" spans="1:12" ht="18" customHeight="1" x14ac:dyDescent="0.35">
      <c r="A7" s="61" t="s">
        <v>982</v>
      </c>
      <c r="B7" s="61" t="s">
        <v>983</v>
      </c>
      <c r="C7" s="61" t="s">
        <v>976</v>
      </c>
      <c r="D7" s="61" t="s">
        <v>140</v>
      </c>
      <c r="E7" s="61" t="s">
        <v>984</v>
      </c>
      <c r="F7" s="61" t="s">
        <v>265</v>
      </c>
      <c r="G7" s="61" t="s">
        <v>978</v>
      </c>
    </row>
    <row r="8" spans="1:12" ht="18" customHeight="1" x14ac:dyDescent="0.35">
      <c r="A8" s="61" t="s">
        <v>985</v>
      </c>
      <c r="B8" s="61" t="s">
        <v>986</v>
      </c>
      <c r="C8" s="61" t="s">
        <v>976</v>
      </c>
      <c r="D8" s="61" t="s">
        <v>140</v>
      </c>
      <c r="E8" s="61" t="s">
        <v>984</v>
      </c>
      <c r="F8" s="61" t="s">
        <v>277</v>
      </c>
      <c r="G8" s="61" t="s">
        <v>978</v>
      </c>
    </row>
    <row r="9" spans="1:12" ht="18" customHeight="1" x14ac:dyDescent="0.35">
      <c r="A9" s="61" t="s">
        <v>987</v>
      </c>
      <c r="B9" s="61" t="s">
        <v>988</v>
      </c>
      <c r="C9" s="61" t="s">
        <v>976</v>
      </c>
      <c r="D9" s="61" t="s">
        <v>140</v>
      </c>
      <c r="E9" s="61" t="s">
        <v>984</v>
      </c>
      <c r="F9" s="61" t="s">
        <v>313</v>
      </c>
      <c r="G9" s="61" t="s">
        <v>978</v>
      </c>
    </row>
    <row r="10" spans="1:12" ht="18" customHeight="1" x14ac:dyDescent="0.35">
      <c r="A10" s="62" t="s">
        <v>989</v>
      </c>
      <c r="B10" s="62" t="s">
        <v>990</v>
      </c>
      <c r="C10" s="62" t="s">
        <v>976</v>
      </c>
      <c r="D10" s="62" t="s">
        <v>140</v>
      </c>
      <c r="E10" s="62" t="s">
        <v>977</v>
      </c>
      <c r="F10" s="62" t="s">
        <v>265</v>
      </c>
      <c r="G10" s="62" t="s">
        <v>978</v>
      </c>
    </row>
    <row r="11" spans="1:12" ht="18" customHeight="1" x14ac:dyDescent="0.35">
      <c r="A11" s="61" t="s">
        <v>991</v>
      </c>
      <c r="B11" s="61" t="s">
        <v>992</v>
      </c>
      <c r="C11" s="61" t="s">
        <v>976</v>
      </c>
      <c r="D11" s="61" t="s">
        <v>140</v>
      </c>
      <c r="E11" s="61" t="s">
        <v>993</v>
      </c>
      <c r="F11" s="61" t="s">
        <v>265</v>
      </c>
      <c r="G11" s="61" t="s">
        <v>978</v>
      </c>
    </row>
    <row r="12" spans="1:12" ht="18" customHeight="1" x14ac:dyDescent="0.35">
      <c r="A12" s="61" t="s">
        <v>994</v>
      </c>
      <c r="B12" s="61" t="s">
        <v>995</v>
      </c>
      <c r="C12" s="61" t="s">
        <v>976</v>
      </c>
      <c r="D12" s="61" t="s">
        <v>140</v>
      </c>
      <c r="E12" s="61" t="s">
        <v>993</v>
      </c>
      <c r="F12" s="61" t="s">
        <v>981</v>
      </c>
      <c r="G12" s="61" t="s">
        <v>978</v>
      </c>
    </row>
    <row r="13" spans="1:12" ht="18" customHeight="1" x14ac:dyDescent="0.35">
      <c r="A13" s="61" t="s">
        <v>996</v>
      </c>
      <c r="B13" s="61" t="s">
        <v>997</v>
      </c>
      <c r="C13" s="61" t="s">
        <v>976</v>
      </c>
      <c r="D13" s="61" t="s">
        <v>140</v>
      </c>
      <c r="E13" s="61" t="s">
        <v>998</v>
      </c>
      <c r="F13" s="61" t="s">
        <v>265</v>
      </c>
      <c r="G13" s="61" t="s">
        <v>978</v>
      </c>
    </row>
    <row r="14" spans="1:12" ht="18" customHeight="1" x14ac:dyDescent="0.35">
      <c r="A14" s="61" t="s">
        <v>999</v>
      </c>
      <c r="B14" s="61" t="s">
        <v>1000</v>
      </c>
      <c r="C14" s="61" t="s">
        <v>976</v>
      </c>
      <c r="D14" s="61" t="s">
        <v>140</v>
      </c>
      <c r="E14" s="61" t="s">
        <v>1001</v>
      </c>
      <c r="F14" s="61" t="s">
        <v>265</v>
      </c>
      <c r="G14" s="61" t="s">
        <v>978</v>
      </c>
    </row>
    <row r="15" spans="1:12" ht="18" customHeight="1" x14ac:dyDescent="0.35">
      <c r="A15" s="61" t="s">
        <v>1002</v>
      </c>
      <c r="B15" s="61" t="s">
        <v>1003</v>
      </c>
      <c r="C15" s="61" t="s">
        <v>976</v>
      </c>
      <c r="D15" s="61" t="s">
        <v>140</v>
      </c>
      <c r="E15" s="61" t="s">
        <v>998</v>
      </c>
      <c r="F15" s="61" t="s">
        <v>981</v>
      </c>
      <c r="G15" s="61" t="s">
        <v>978</v>
      </c>
    </row>
    <row r="16" spans="1:12" ht="18" customHeight="1" x14ac:dyDescent="0.35">
      <c r="A16" s="61" t="s">
        <v>804</v>
      </c>
      <c r="B16" s="61" t="s">
        <v>1004</v>
      </c>
      <c r="C16" s="61" t="s">
        <v>976</v>
      </c>
      <c r="D16" s="61" t="s">
        <v>140</v>
      </c>
      <c r="E16" s="61" t="s">
        <v>1005</v>
      </c>
      <c r="F16" s="61" t="s">
        <v>265</v>
      </c>
      <c r="G16" s="61" t="s">
        <v>978</v>
      </c>
    </row>
    <row r="17" spans="1:7" ht="18" customHeight="1" x14ac:dyDescent="0.35">
      <c r="A17" s="61" t="s">
        <v>1006</v>
      </c>
      <c r="B17" s="61" t="s">
        <v>1007</v>
      </c>
      <c r="C17" s="61" t="s">
        <v>976</v>
      </c>
      <c r="D17" s="61" t="s">
        <v>140</v>
      </c>
      <c r="E17" s="61" t="s">
        <v>1008</v>
      </c>
      <c r="F17" s="61" t="s">
        <v>265</v>
      </c>
      <c r="G17" s="61" t="s">
        <v>978</v>
      </c>
    </row>
    <row r="18" spans="1:7" ht="18" customHeight="1" x14ac:dyDescent="0.35">
      <c r="A18" s="61" t="s">
        <v>1009</v>
      </c>
      <c r="B18" s="61" t="s">
        <v>1010</v>
      </c>
      <c r="C18" s="61" t="s">
        <v>976</v>
      </c>
      <c r="D18" s="61" t="s">
        <v>140</v>
      </c>
      <c r="E18" s="61" t="s">
        <v>1008</v>
      </c>
      <c r="F18" s="61" t="s">
        <v>265</v>
      </c>
      <c r="G18" s="61" t="s">
        <v>978</v>
      </c>
    </row>
    <row r="19" spans="1:7" ht="18" customHeight="1" x14ac:dyDescent="0.35">
      <c r="A19" s="62" t="s">
        <v>1011</v>
      </c>
      <c r="B19" s="62" t="s">
        <v>1012</v>
      </c>
      <c r="C19" s="62" t="s">
        <v>736</v>
      </c>
      <c r="D19" s="62" t="s">
        <v>143</v>
      </c>
      <c r="E19" s="62" t="s">
        <v>1013</v>
      </c>
      <c r="F19" s="62" t="s">
        <v>265</v>
      </c>
      <c r="G19" s="62" t="s">
        <v>978</v>
      </c>
    </row>
    <row r="20" spans="1:7" ht="18" customHeight="1" x14ac:dyDescent="0.35">
      <c r="A20" s="62" t="s">
        <v>1014</v>
      </c>
      <c r="B20" s="62" t="s">
        <v>1015</v>
      </c>
      <c r="C20" s="62" t="s">
        <v>736</v>
      </c>
      <c r="D20" s="62" t="s">
        <v>143</v>
      </c>
      <c r="E20" s="62" t="s">
        <v>1013</v>
      </c>
      <c r="F20" s="62" t="s">
        <v>981</v>
      </c>
      <c r="G20" s="62" t="s">
        <v>978</v>
      </c>
    </row>
    <row r="21" spans="1:7" ht="18" customHeight="1" x14ac:dyDescent="0.35">
      <c r="A21" s="62" t="s">
        <v>1016</v>
      </c>
      <c r="B21" s="62" t="s">
        <v>1017</v>
      </c>
      <c r="C21" s="62" t="s">
        <v>736</v>
      </c>
      <c r="D21" s="62" t="s">
        <v>143</v>
      </c>
      <c r="E21" s="62" t="s">
        <v>1018</v>
      </c>
      <c r="F21" s="62" t="s">
        <v>981</v>
      </c>
      <c r="G21" s="62" t="s">
        <v>978</v>
      </c>
    </row>
    <row r="22" spans="1:7" ht="18" customHeight="1" x14ac:dyDescent="0.35">
      <c r="A22" s="62" t="s">
        <v>1019</v>
      </c>
      <c r="B22" s="62" t="s">
        <v>1020</v>
      </c>
      <c r="C22" s="62" t="s">
        <v>736</v>
      </c>
      <c r="D22" s="62" t="s">
        <v>143</v>
      </c>
      <c r="E22" s="62" t="s">
        <v>1018</v>
      </c>
      <c r="F22" s="62" t="s">
        <v>981</v>
      </c>
      <c r="G22" s="62" t="s">
        <v>978</v>
      </c>
    </row>
    <row r="23" spans="1:7" ht="18" customHeight="1" x14ac:dyDescent="0.35">
      <c r="A23" s="62" t="s">
        <v>1021</v>
      </c>
      <c r="B23" s="62" t="s">
        <v>1022</v>
      </c>
      <c r="C23" s="62" t="s">
        <v>736</v>
      </c>
      <c r="D23" s="62" t="s">
        <v>143</v>
      </c>
      <c r="E23" s="62" t="s">
        <v>1023</v>
      </c>
      <c r="F23" s="62" t="s">
        <v>981</v>
      </c>
      <c r="G23" s="62" t="s">
        <v>978</v>
      </c>
    </row>
    <row r="24" spans="1:7" ht="18" customHeight="1" x14ac:dyDescent="0.35">
      <c r="A24" s="62" t="s">
        <v>1024</v>
      </c>
      <c r="B24" s="62" t="s">
        <v>1025</v>
      </c>
      <c r="C24" s="62" t="s">
        <v>736</v>
      </c>
      <c r="D24" s="62" t="s">
        <v>143</v>
      </c>
      <c r="E24" s="62" t="s">
        <v>1001</v>
      </c>
      <c r="F24" s="62" t="s">
        <v>265</v>
      </c>
      <c r="G24" s="62" t="s">
        <v>978</v>
      </c>
    </row>
    <row r="25" spans="1:7" ht="18" customHeight="1" x14ac:dyDescent="0.35">
      <c r="A25" s="62" t="s">
        <v>1026</v>
      </c>
      <c r="B25" s="62" t="s">
        <v>735</v>
      </c>
      <c r="C25" s="62" t="s">
        <v>736</v>
      </c>
      <c r="D25" s="62" t="s">
        <v>143</v>
      </c>
      <c r="E25" s="62" t="s">
        <v>1005</v>
      </c>
      <c r="F25" s="62" t="s">
        <v>265</v>
      </c>
      <c r="G25" s="62" t="s">
        <v>978</v>
      </c>
    </row>
    <row r="26" spans="1:7" ht="18" customHeight="1" x14ac:dyDescent="0.35">
      <c r="A26" s="62" t="s">
        <v>741</v>
      </c>
      <c r="B26" s="62" t="s">
        <v>1027</v>
      </c>
      <c r="C26" s="62" t="s">
        <v>736</v>
      </c>
      <c r="D26" s="62" t="s">
        <v>143</v>
      </c>
      <c r="E26" s="62" t="s">
        <v>1005</v>
      </c>
      <c r="F26" s="62" t="s">
        <v>265</v>
      </c>
      <c r="G26" s="62" t="s">
        <v>978</v>
      </c>
    </row>
    <row r="27" spans="1:7" ht="18" customHeight="1" x14ac:dyDescent="0.35">
      <c r="A27" s="62" t="s">
        <v>1028</v>
      </c>
      <c r="B27" s="62" t="s">
        <v>1029</v>
      </c>
      <c r="C27" s="62" t="s">
        <v>736</v>
      </c>
      <c r="D27" s="62" t="s">
        <v>143</v>
      </c>
      <c r="E27" s="62" t="s">
        <v>1005</v>
      </c>
      <c r="F27" s="62" t="s">
        <v>265</v>
      </c>
      <c r="G27" s="62" t="s">
        <v>978</v>
      </c>
    </row>
    <row r="28" spans="1:7" ht="18" customHeight="1" x14ac:dyDescent="0.35">
      <c r="A28" s="63" t="s">
        <v>1030</v>
      </c>
      <c r="B28" s="63" t="s">
        <v>1031</v>
      </c>
      <c r="C28" s="63" t="s">
        <v>1032</v>
      </c>
      <c r="D28" s="63" t="s">
        <v>147</v>
      </c>
      <c r="E28" s="63" t="s">
        <v>1033</v>
      </c>
      <c r="F28" s="63" t="s">
        <v>265</v>
      </c>
      <c r="G28" s="63" t="s">
        <v>978</v>
      </c>
    </row>
    <row r="29" spans="1:7" ht="18" customHeight="1" x14ac:dyDescent="0.35">
      <c r="A29" s="64" t="s">
        <v>1034</v>
      </c>
      <c r="B29" s="64" t="s">
        <v>1035</v>
      </c>
      <c r="C29" s="64" t="s">
        <v>709</v>
      </c>
      <c r="D29" s="64" t="s">
        <v>150</v>
      </c>
      <c r="E29" s="64" t="s">
        <v>1036</v>
      </c>
      <c r="F29" s="64" t="s">
        <v>981</v>
      </c>
      <c r="G29" s="64" t="s">
        <v>978</v>
      </c>
    </row>
    <row r="30" spans="1:7" ht="18" customHeight="1" x14ac:dyDescent="0.35">
      <c r="A30" s="64" t="s">
        <v>1037</v>
      </c>
      <c r="B30" s="64" t="s">
        <v>1038</v>
      </c>
      <c r="C30" s="64" t="s">
        <v>709</v>
      </c>
      <c r="D30" s="64" t="s">
        <v>150</v>
      </c>
      <c r="E30" s="64" t="s">
        <v>1036</v>
      </c>
      <c r="F30" s="64" t="s">
        <v>981</v>
      </c>
      <c r="G30" s="64" t="s">
        <v>978</v>
      </c>
    </row>
    <row r="31" spans="1:7" ht="18" customHeight="1" x14ac:dyDescent="0.35">
      <c r="A31" s="64" t="s">
        <v>1039</v>
      </c>
      <c r="B31" s="64" t="s">
        <v>1040</v>
      </c>
      <c r="C31" s="64" t="s">
        <v>709</v>
      </c>
      <c r="D31" s="64" t="s">
        <v>150</v>
      </c>
      <c r="E31" s="64" t="s">
        <v>1036</v>
      </c>
      <c r="F31" s="64" t="s">
        <v>981</v>
      </c>
      <c r="G31" s="64" t="s">
        <v>978</v>
      </c>
    </row>
    <row r="32" spans="1:7" ht="18" customHeight="1" x14ac:dyDescent="0.35">
      <c r="A32" s="64" t="s">
        <v>1041</v>
      </c>
      <c r="B32" s="64" t="s">
        <v>1042</v>
      </c>
      <c r="C32" s="64" t="s">
        <v>709</v>
      </c>
      <c r="D32" s="64" t="s">
        <v>150</v>
      </c>
      <c r="E32" s="64" t="s">
        <v>1036</v>
      </c>
      <c r="F32" s="64" t="s">
        <v>981</v>
      </c>
      <c r="G32" s="64" t="s">
        <v>978</v>
      </c>
    </row>
    <row r="33" spans="1:7" ht="18" customHeight="1" x14ac:dyDescent="0.35">
      <c r="A33" s="64" t="s">
        <v>1043</v>
      </c>
      <c r="B33" s="64" t="s">
        <v>1044</v>
      </c>
      <c r="C33" s="64" t="s">
        <v>709</v>
      </c>
      <c r="D33" s="64" t="s">
        <v>150</v>
      </c>
      <c r="E33" s="64" t="s">
        <v>1036</v>
      </c>
      <c r="F33" s="64" t="s">
        <v>981</v>
      </c>
      <c r="G33" s="64" t="s">
        <v>978</v>
      </c>
    </row>
    <row r="34" spans="1:7" ht="18" customHeight="1" x14ac:dyDescent="0.35">
      <c r="A34" s="64" t="s">
        <v>1045</v>
      </c>
      <c r="B34" s="64" t="s">
        <v>1046</v>
      </c>
      <c r="C34" s="64" t="s">
        <v>709</v>
      </c>
      <c r="D34" s="64" t="s">
        <v>150</v>
      </c>
      <c r="E34" s="64" t="s">
        <v>1047</v>
      </c>
      <c r="F34" s="64" t="s">
        <v>981</v>
      </c>
      <c r="G34" s="64" t="s">
        <v>978</v>
      </c>
    </row>
    <row r="35" spans="1:7" ht="18" customHeight="1" x14ac:dyDescent="0.35">
      <c r="A35" s="65" t="s">
        <v>1048</v>
      </c>
      <c r="B35" s="65" t="s">
        <v>1049</v>
      </c>
      <c r="C35" s="65" t="s">
        <v>722</v>
      </c>
      <c r="D35" s="65" t="s">
        <v>153</v>
      </c>
      <c r="E35" s="65" t="s">
        <v>1050</v>
      </c>
      <c r="F35" s="65" t="s">
        <v>981</v>
      </c>
      <c r="G35" s="65" t="s">
        <v>978</v>
      </c>
    </row>
    <row r="36" spans="1:7" ht="18" customHeight="1" x14ac:dyDescent="0.35">
      <c r="A36" s="65" t="s">
        <v>1051</v>
      </c>
      <c r="B36" s="65" t="s">
        <v>1052</v>
      </c>
      <c r="C36" s="65" t="s">
        <v>722</v>
      </c>
      <c r="D36" s="65" t="s">
        <v>153</v>
      </c>
      <c r="E36" s="65" t="s">
        <v>1050</v>
      </c>
      <c r="F36" s="65" t="s">
        <v>981</v>
      </c>
      <c r="G36" s="65" t="s">
        <v>978</v>
      </c>
    </row>
    <row r="37" spans="1:7" ht="18" customHeight="1" x14ac:dyDescent="0.35">
      <c r="A37" s="65" t="s">
        <v>1053</v>
      </c>
      <c r="B37" s="65" t="s">
        <v>1054</v>
      </c>
      <c r="C37" s="65" t="s">
        <v>722</v>
      </c>
      <c r="D37" s="65" t="s">
        <v>153</v>
      </c>
      <c r="E37" s="65" t="s">
        <v>1050</v>
      </c>
      <c r="F37" s="65" t="s">
        <v>981</v>
      </c>
      <c r="G37" s="65" t="s">
        <v>978</v>
      </c>
    </row>
    <row r="38" spans="1:7" ht="18" customHeight="1" x14ac:dyDescent="0.35">
      <c r="A38" s="65" t="s">
        <v>1055</v>
      </c>
      <c r="B38" s="65" t="s">
        <v>1056</v>
      </c>
      <c r="C38" s="65" t="s">
        <v>722</v>
      </c>
      <c r="D38" s="65" t="s">
        <v>153</v>
      </c>
      <c r="E38" s="65" t="s">
        <v>1050</v>
      </c>
      <c r="F38" s="65" t="s">
        <v>981</v>
      </c>
      <c r="G38" s="65" t="s">
        <v>978</v>
      </c>
    </row>
    <row r="39" spans="1:7" ht="18" customHeight="1" x14ac:dyDescent="0.35">
      <c r="A39" s="65" t="s">
        <v>1057</v>
      </c>
      <c r="B39" s="65" t="s">
        <v>1058</v>
      </c>
      <c r="C39" s="65" t="s">
        <v>722</v>
      </c>
      <c r="D39" s="65" t="s">
        <v>153</v>
      </c>
      <c r="E39" s="65" t="s">
        <v>1050</v>
      </c>
      <c r="F39" s="65" t="s">
        <v>265</v>
      </c>
      <c r="G39" s="65" t="s">
        <v>978</v>
      </c>
    </row>
    <row r="40" spans="1:7" ht="18" customHeight="1" x14ac:dyDescent="0.35">
      <c r="A40" s="65" t="s">
        <v>1059</v>
      </c>
      <c r="B40" s="65" t="s">
        <v>1060</v>
      </c>
      <c r="C40" s="65" t="s">
        <v>722</v>
      </c>
      <c r="D40" s="65" t="s">
        <v>153</v>
      </c>
      <c r="E40" s="65" t="s">
        <v>1050</v>
      </c>
      <c r="F40" s="65" t="s">
        <v>265</v>
      </c>
      <c r="G40" s="65" t="s">
        <v>978</v>
      </c>
    </row>
    <row r="41" spans="1:7" ht="18" customHeight="1" x14ac:dyDescent="0.35">
      <c r="A41" s="66" t="s">
        <v>1061</v>
      </c>
      <c r="B41" s="66" t="s">
        <v>1062</v>
      </c>
      <c r="C41" s="66" t="s">
        <v>722</v>
      </c>
      <c r="D41" s="66" t="s">
        <v>156</v>
      </c>
      <c r="E41" s="66" t="s">
        <v>1063</v>
      </c>
      <c r="F41" s="66" t="s">
        <v>265</v>
      </c>
      <c r="G41" s="66" t="s">
        <v>978</v>
      </c>
    </row>
    <row r="42" spans="1:7" ht="18" customHeight="1" x14ac:dyDescent="0.35">
      <c r="A42" s="66" t="s">
        <v>1064</v>
      </c>
      <c r="B42" s="66" t="s">
        <v>1065</v>
      </c>
      <c r="C42" s="66" t="s">
        <v>722</v>
      </c>
      <c r="D42" s="66" t="s">
        <v>156</v>
      </c>
      <c r="E42" s="66" t="s">
        <v>1063</v>
      </c>
      <c r="F42" s="66" t="s">
        <v>265</v>
      </c>
      <c r="G42" s="66" t="s">
        <v>978</v>
      </c>
    </row>
    <row r="43" spans="1:7" ht="18" customHeight="1" x14ac:dyDescent="0.35">
      <c r="A43" s="66" t="s">
        <v>1066</v>
      </c>
      <c r="B43" s="66" t="s">
        <v>1067</v>
      </c>
      <c r="C43" s="66" t="s">
        <v>722</v>
      </c>
      <c r="D43" s="66" t="s">
        <v>156</v>
      </c>
      <c r="E43" s="66" t="s">
        <v>1068</v>
      </c>
      <c r="F43" s="66" t="s">
        <v>265</v>
      </c>
      <c r="G43" s="66" t="s">
        <v>978</v>
      </c>
    </row>
    <row r="44" spans="1:7" ht="18" customHeight="1" x14ac:dyDescent="0.35">
      <c r="A44" s="66" t="s">
        <v>1069</v>
      </c>
      <c r="B44" s="66" t="s">
        <v>1070</v>
      </c>
      <c r="C44" s="66" t="s">
        <v>722</v>
      </c>
      <c r="D44" s="66" t="s">
        <v>156</v>
      </c>
      <c r="E44" s="66" t="s">
        <v>1068</v>
      </c>
      <c r="F44" s="66" t="s">
        <v>265</v>
      </c>
      <c r="G44" s="66" t="s">
        <v>978</v>
      </c>
    </row>
    <row r="45" spans="1:7" ht="18" customHeight="1" x14ac:dyDescent="0.35">
      <c r="A45" s="66" t="s">
        <v>1071</v>
      </c>
      <c r="B45" s="66" t="s">
        <v>1072</v>
      </c>
      <c r="C45" s="66" t="s">
        <v>722</v>
      </c>
      <c r="D45" s="66" t="s">
        <v>156</v>
      </c>
      <c r="E45" s="66" t="s">
        <v>1063</v>
      </c>
      <c r="F45" s="66" t="s">
        <v>265</v>
      </c>
      <c r="G45" s="66" t="s">
        <v>978</v>
      </c>
    </row>
    <row r="46" spans="1:7" ht="18" customHeight="1" x14ac:dyDescent="0.35">
      <c r="A46" s="66" t="s">
        <v>1073</v>
      </c>
      <c r="B46" s="66" t="s">
        <v>1074</v>
      </c>
      <c r="C46" s="66" t="s">
        <v>722</v>
      </c>
      <c r="D46" s="66" t="s">
        <v>156</v>
      </c>
      <c r="E46" s="66" t="s">
        <v>1063</v>
      </c>
      <c r="F46" s="66" t="s">
        <v>265</v>
      </c>
      <c r="G46" s="66" t="s">
        <v>978</v>
      </c>
    </row>
    <row r="47" spans="1:7" ht="18" customHeight="1" x14ac:dyDescent="0.35">
      <c r="A47" s="66" t="s">
        <v>811</v>
      </c>
      <c r="B47" s="66" t="s">
        <v>1075</v>
      </c>
      <c r="C47" s="66" t="s">
        <v>722</v>
      </c>
      <c r="D47" s="66" t="s">
        <v>156</v>
      </c>
      <c r="E47" s="66" t="s">
        <v>1076</v>
      </c>
      <c r="F47" s="66" t="s">
        <v>265</v>
      </c>
      <c r="G47" s="66" t="s">
        <v>978</v>
      </c>
    </row>
    <row r="48" spans="1:7" ht="18" customHeight="1" x14ac:dyDescent="0.35">
      <c r="A48" s="67" t="s">
        <v>1077</v>
      </c>
      <c r="B48" s="67" t="s">
        <v>718</v>
      </c>
      <c r="C48" s="67" t="s">
        <v>709</v>
      </c>
      <c r="D48" s="67" t="s">
        <v>159</v>
      </c>
      <c r="E48" s="67" t="s">
        <v>1078</v>
      </c>
      <c r="F48" s="67" t="s">
        <v>265</v>
      </c>
      <c r="G48" s="67" t="s">
        <v>978</v>
      </c>
    </row>
    <row r="49" spans="1:7" ht="18" customHeight="1" x14ac:dyDescent="0.35">
      <c r="A49" s="67" t="s">
        <v>1079</v>
      </c>
      <c r="B49" s="67" t="s">
        <v>1080</v>
      </c>
      <c r="C49" s="67" t="s">
        <v>732</v>
      </c>
      <c r="D49" s="67" t="s">
        <v>159</v>
      </c>
      <c r="E49" s="67" t="s">
        <v>1081</v>
      </c>
      <c r="F49" s="67" t="s">
        <v>265</v>
      </c>
      <c r="G49" s="67" t="s">
        <v>978</v>
      </c>
    </row>
    <row r="50" spans="1:7" ht="18" customHeight="1" x14ac:dyDescent="0.35">
      <c r="A50" s="68" t="s">
        <v>1082</v>
      </c>
      <c r="B50" s="68"/>
      <c r="C50" s="50">
        <v>45</v>
      </c>
      <c r="D50" s="69" t="s">
        <v>1083</v>
      </c>
      <c r="E50" s="69"/>
    </row>
  </sheetData>
  <sheetProtection algorithmName="SHA-512" hashValue="RyaTWQ8TjMEZoalfHVzrrCTP7uQKVq30QI7IhHuB5UXlA7m56S1pTqrz3B7UoS7rfkMu3nn4IqwkPO1qYdjuRw==" saltValue="YPl1ZCFvNS2FXODMWC7COw==" spinCount="100000" sheet="1" objects="1" scenarios="1"/>
  <mergeCells count="5">
    <mergeCell ref="A1:G1"/>
    <mergeCell ref="A2:G2"/>
    <mergeCell ref="A3:J3"/>
    <mergeCell ref="A50:B50"/>
    <mergeCell ref="D50:E50"/>
  </mergeCells>
  <dataValidations count="5">
    <dataValidation type="list" sqref="C5:C100" xr:uid="{00000000-0002-0000-1200-000000000000}">
      <formula1>"Asset,Liability,Equity,Revenue,Expense,Expense/Income"</formula1>
      <formula2>0</formula2>
    </dataValidation>
    <dataValidation type="list" sqref="D5:D100" xr:uid="{00000000-0002-0000-1200-000001000000}">
      <formula1>"1,2,3,4,5,6,7"</formula1>
      <formula2>0</formula2>
    </dataValidation>
    <dataValidation type="list" sqref="F5:F100" xr:uid="{00000000-0002-0000-1200-000002000000}">
      <formula1>"EGP,USD,EUR,GBP,Multi"</formula1>
      <formula2>0</formula2>
    </dataValidation>
    <dataValidation type="list" sqref="G5:G100" xr:uid="{00000000-0002-0000-1200-000003000000}">
      <formula1>"TRUE,FALSE"</formula1>
      <formula2>0</formula2>
    </dataValidation>
    <dataValidation type="list" sqref="I5:I100" xr:uid="{00000000-0002-0000-1200-000004000000}">
      <formula1>"Mapped,New,Deprecated,Pending Review"</formula1>
      <formula2>0</formula2>
    </dataValidation>
  </dataValidations>
  <hyperlinks>
    <hyperlink ref="I1" location="DMC_NAVIGATION!A1" display="🏠 Back to Home" xr:uid="{00000000-0004-0000-12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N137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12" style="2" customWidth="1"/>
    <col min="2" max="2" width="21" style="2" customWidth="1"/>
    <col min="3" max="3" width="14" style="2" customWidth="1"/>
    <col min="4" max="4" width="39" style="2" customWidth="1"/>
    <col min="5" max="6" width="12" style="2" customWidth="1"/>
    <col min="7" max="7" width="11" style="2" customWidth="1"/>
    <col min="8" max="8" width="13" style="2" customWidth="1"/>
    <col min="9" max="9" width="9" style="2" customWidth="1"/>
    <col min="10" max="10" width="17" style="2" customWidth="1"/>
    <col min="11" max="11" width="18" style="2" customWidth="1"/>
    <col min="12" max="12" width="50" style="2" customWidth="1"/>
    <col min="13" max="13" width="8.6328125" style="2"/>
    <col min="14" max="14" width="16" style="2" customWidth="1"/>
    <col min="15" max="16384" width="8.6328125" style="2"/>
  </cols>
  <sheetData>
    <row r="1" spans="1:14" ht="25.5" customHeight="1" x14ac:dyDescent="0.35">
      <c r="A1" s="26" t="s">
        <v>1084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N1" s="27" t="s">
        <v>88</v>
      </c>
    </row>
    <row r="2" spans="1:14" ht="19.5" customHeight="1" x14ac:dyDescent="0.35">
      <c r="A2" s="29" t="s">
        <v>1085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4" ht="31.5" customHeight="1" x14ac:dyDescent="0.35">
      <c r="A3" s="34" t="s">
        <v>821</v>
      </c>
      <c r="B3" s="34" t="s">
        <v>189</v>
      </c>
      <c r="C3" s="34" t="s">
        <v>697</v>
      </c>
      <c r="D3" s="34" t="s">
        <v>698</v>
      </c>
      <c r="E3" s="34" t="s">
        <v>763</v>
      </c>
      <c r="F3" s="34" t="s">
        <v>770</v>
      </c>
      <c r="G3" s="34" t="s">
        <v>1086</v>
      </c>
      <c r="H3" s="34" t="s">
        <v>672</v>
      </c>
      <c r="I3" s="34" t="s">
        <v>1087</v>
      </c>
      <c r="J3" s="34" t="s">
        <v>1088</v>
      </c>
      <c r="K3" s="34" t="s">
        <v>1089</v>
      </c>
      <c r="L3" s="34" t="s">
        <v>5</v>
      </c>
    </row>
    <row r="4" spans="1:14" ht="18" customHeight="1" x14ac:dyDescent="0.35">
      <c r="A4" s="2" t="s">
        <v>805</v>
      </c>
      <c r="B4" s="70">
        <v>46244</v>
      </c>
      <c r="C4" s="2" t="s">
        <v>994</v>
      </c>
      <c r="D4" s="37" t="str">
        <f>IFERROR(INDEX(TB_COA!$B$5:$B$1000,MATCH(C4,TB_COA!$A$5:$A$1000,0)),"")</f>
        <v>AR - Foreign Tour Operators (Control)</v>
      </c>
      <c r="E4" s="37">
        <f>TB_Master_Bookings!M4</f>
        <v>6722100</v>
      </c>
      <c r="F4" s="2">
        <v>0</v>
      </c>
      <c r="G4" s="37">
        <f>TB_Master_Bookings!K4</f>
        <v>126000</v>
      </c>
      <c r="H4" s="2" t="s">
        <v>313</v>
      </c>
      <c r="I4" s="2">
        <v>53.35</v>
      </c>
      <c r="J4" s="2" t="s">
        <v>521</v>
      </c>
      <c r="L4" s="2" t="s">
        <v>1090</v>
      </c>
    </row>
    <row r="5" spans="1:14" ht="18" customHeight="1" x14ac:dyDescent="0.35">
      <c r="A5" s="2" t="s">
        <v>805</v>
      </c>
      <c r="B5" s="70">
        <v>46244</v>
      </c>
      <c r="C5" s="2" t="s">
        <v>1037</v>
      </c>
      <c r="D5" s="37" t="str">
        <f>IFERROR(INDEX(TB_COA!$B$5:$B$1000,MATCH(C5,TB_COA!$A$5:$A$1000,0)),"")</f>
        <v>Revenue - Package Tours</v>
      </c>
      <c r="E5" s="2">
        <v>0</v>
      </c>
      <c r="F5" s="37">
        <f>E4/1.14</f>
        <v>5896578.9473684216</v>
      </c>
      <c r="G5" s="37">
        <f>G4/1.14</f>
        <v>110526.31578947369</v>
      </c>
      <c r="H5" s="2" t="s">
        <v>313</v>
      </c>
      <c r="I5" s="2">
        <v>53.35</v>
      </c>
      <c r="J5" s="2" t="s">
        <v>521</v>
      </c>
      <c r="L5" s="2" t="s">
        <v>1091</v>
      </c>
    </row>
    <row r="6" spans="1:14" ht="18" customHeight="1" x14ac:dyDescent="0.35">
      <c r="A6" s="2" t="s">
        <v>805</v>
      </c>
      <c r="B6" s="70">
        <v>46244</v>
      </c>
      <c r="C6" s="2" t="s">
        <v>1026</v>
      </c>
      <c r="D6" s="37" t="str">
        <f>IFERROR(INDEX(TB_COA!$B$5:$B$1000,MATCH(C6,TB_COA!$A$5:$A$1000,0)),"")</f>
        <v>Output VAT Payable (14%)</v>
      </c>
      <c r="E6" s="2">
        <v>0</v>
      </c>
      <c r="F6" s="37">
        <f>E4-F5</f>
        <v>825521.05263157841</v>
      </c>
      <c r="G6" s="37">
        <f>G4-G5</f>
        <v>15473.684210526306</v>
      </c>
      <c r="H6" s="2" t="s">
        <v>313</v>
      </c>
      <c r="I6" s="2">
        <v>53.35</v>
      </c>
      <c r="J6" s="2" t="s">
        <v>521</v>
      </c>
      <c r="L6" s="2" t="s">
        <v>1092</v>
      </c>
    </row>
    <row r="7" spans="1:14" ht="18" customHeight="1" x14ac:dyDescent="0.35">
      <c r="A7" s="2" t="s">
        <v>765</v>
      </c>
      <c r="B7" s="70">
        <v>46245</v>
      </c>
      <c r="C7" s="2" t="s">
        <v>994</v>
      </c>
      <c r="D7" s="37" t="str">
        <f>IFERROR(INDEX(TB_COA!$B$5:$B$1000,MATCH(C7,TB_COA!$A$5:$A$1000,0)),"")</f>
        <v>AR - Foreign Tour Operators (Control)</v>
      </c>
      <c r="E7" s="37">
        <f>TB_Master_Bookings!M5</f>
        <v>1268769.5999999999</v>
      </c>
      <c r="F7" s="2">
        <v>0</v>
      </c>
      <c r="G7" s="37">
        <f>TB_Master_Bookings!K5</f>
        <v>25830</v>
      </c>
      <c r="H7" s="2" t="s">
        <v>277</v>
      </c>
      <c r="I7" s="2">
        <v>49.12</v>
      </c>
      <c r="J7" s="2" t="s">
        <v>524</v>
      </c>
      <c r="L7" s="2" t="s">
        <v>1093</v>
      </c>
    </row>
    <row r="8" spans="1:14" ht="18" customHeight="1" x14ac:dyDescent="0.35">
      <c r="A8" s="2" t="s">
        <v>765</v>
      </c>
      <c r="B8" s="70">
        <v>46245</v>
      </c>
      <c r="C8" s="2" t="s">
        <v>1037</v>
      </c>
      <c r="D8" s="37" t="str">
        <f>IFERROR(INDEX(TB_COA!$B$5:$B$1000,MATCH(C8,TB_COA!$A$5:$A$1000,0)),"")</f>
        <v>Revenue - Package Tours</v>
      </c>
      <c r="E8" s="2">
        <v>0</v>
      </c>
      <c r="F8" s="37">
        <f>E7/1.14</f>
        <v>1112955.7894736843</v>
      </c>
      <c r="G8" s="37">
        <f>G7/1.14</f>
        <v>22657.894736842107</v>
      </c>
      <c r="H8" s="2" t="s">
        <v>277</v>
      </c>
      <c r="I8" s="2">
        <v>49.12</v>
      </c>
      <c r="J8" s="2" t="s">
        <v>524</v>
      </c>
      <c r="L8" s="2" t="s">
        <v>1094</v>
      </c>
    </row>
    <row r="9" spans="1:14" ht="18" customHeight="1" x14ac:dyDescent="0.35">
      <c r="A9" s="2" t="s">
        <v>765</v>
      </c>
      <c r="B9" s="70">
        <v>46245</v>
      </c>
      <c r="C9" s="2" t="s">
        <v>1026</v>
      </c>
      <c r="D9" s="37" t="str">
        <f>IFERROR(INDEX(TB_COA!$B$5:$B$1000,MATCH(C9,TB_COA!$A$5:$A$1000,0)),"")</f>
        <v>Output VAT Payable (14%)</v>
      </c>
      <c r="E9" s="2">
        <v>0</v>
      </c>
      <c r="F9" s="37">
        <f>E7-F8</f>
        <v>155813.81052631559</v>
      </c>
      <c r="G9" s="37">
        <f>G7-G8</f>
        <v>3172.1052631578932</v>
      </c>
      <c r="H9" s="2" t="s">
        <v>277</v>
      </c>
      <c r="I9" s="2">
        <v>49.12</v>
      </c>
      <c r="J9" s="2" t="s">
        <v>524</v>
      </c>
      <c r="L9" s="2" t="s">
        <v>1095</v>
      </c>
    </row>
    <row r="10" spans="1:14" ht="18" customHeight="1" x14ac:dyDescent="0.35">
      <c r="A10" s="2" t="s">
        <v>1096</v>
      </c>
      <c r="B10" s="70">
        <v>46246</v>
      </c>
      <c r="C10" s="2" t="s">
        <v>994</v>
      </c>
      <c r="D10" s="37" t="str">
        <f>IFERROR(INDEX(TB_COA!$B$5:$B$1000,MATCH(C10,TB_COA!$A$5:$A$1000,0)),"")</f>
        <v>AR - Foreign Tour Operators (Control)</v>
      </c>
      <c r="E10" s="37">
        <f>TB_Master_Bookings!M6</f>
        <v>1020474</v>
      </c>
      <c r="F10" s="2">
        <v>0</v>
      </c>
      <c r="G10" s="37">
        <f>TB_Master_Bookings!K6</f>
        <v>16380</v>
      </c>
      <c r="H10" s="2" t="s">
        <v>409</v>
      </c>
      <c r="I10" s="2">
        <v>62.3</v>
      </c>
      <c r="J10" s="2" t="s">
        <v>526</v>
      </c>
      <c r="L10" s="2" t="s">
        <v>1097</v>
      </c>
    </row>
    <row r="11" spans="1:14" ht="18" customHeight="1" x14ac:dyDescent="0.35">
      <c r="A11" s="2" t="s">
        <v>1096</v>
      </c>
      <c r="B11" s="70">
        <v>46246</v>
      </c>
      <c r="C11" s="2" t="s">
        <v>1037</v>
      </c>
      <c r="D11" s="37" t="str">
        <f>IFERROR(INDEX(TB_COA!$B$5:$B$1000,MATCH(C11,TB_COA!$A$5:$A$1000,0)),"")</f>
        <v>Revenue - Package Tours</v>
      </c>
      <c r="E11" s="2">
        <v>0</v>
      </c>
      <c r="F11" s="37">
        <f>E10/1.14</f>
        <v>895152.63157894742</v>
      </c>
      <c r="G11" s="37">
        <f>G10/1.14</f>
        <v>14368.42105263158</v>
      </c>
      <c r="H11" s="2" t="s">
        <v>409</v>
      </c>
      <c r="I11" s="2">
        <v>62.3</v>
      </c>
      <c r="J11" s="2" t="s">
        <v>526</v>
      </c>
      <c r="L11" s="2" t="s">
        <v>1098</v>
      </c>
    </row>
    <row r="12" spans="1:14" ht="18" customHeight="1" x14ac:dyDescent="0.35">
      <c r="A12" s="2" t="s">
        <v>1096</v>
      </c>
      <c r="B12" s="70">
        <v>46246</v>
      </c>
      <c r="C12" s="2" t="s">
        <v>1026</v>
      </c>
      <c r="D12" s="37" t="str">
        <f>IFERROR(INDEX(TB_COA!$B$5:$B$1000,MATCH(C12,TB_COA!$A$5:$A$1000,0)),"")</f>
        <v>Output VAT Payable (14%)</v>
      </c>
      <c r="E12" s="2">
        <v>0</v>
      </c>
      <c r="F12" s="37">
        <f>E10-F11</f>
        <v>125321.36842105258</v>
      </c>
      <c r="G12" s="37">
        <f>G10-G11</f>
        <v>2011.5789473684199</v>
      </c>
      <c r="H12" s="2" t="s">
        <v>409</v>
      </c>
      <c r="I12" s="2">
        <v>62.3</v>
      </c>
      <c r="J12" s="2" t="s">
        <v>526</v>
      </c>
      <c r="L12" s="2" t="s">
        <v>1099</v>
      </c>
    </row>
    <row r="13" spans="1:14" ht="18" customHeight="1" x14ac:dyDescent="0.35">
      <c r="A13" s="2" t="s">
        <v>1100</v>
      </c>
      <c r="B13" s="70">
        <v>46243</v>
      </c>
      <c r="C13" s="2" t="s">
        <v>994</v>
      </c>
      <c r="D13" s="37" t="str">
        <f>IFERROR(INDEX(TB_COA!$B$5:$B$1000,MATCH(C13,TB_COA!$A$5:$A$1000,0)),"")</f>
        <v>AR - Foreign Tour Operators (Control)</v>
      </c>
      <c r="E13" s="37">
        <f>TB_Master_Bookings!M7</f>
        <v>1153440</v>
      </c>
      <c r="F13" s="2">
        <v>0</v>
      </c>
      <c r="G13" s="37">
        <f>TB_Master_Bookings!K7</f>
        <v>21600</v>
      </c>
      <c r="H13" s="2" t="s">
        <v>313</v>
      </c>
      <c r="I13" s="2">
        <v>53.4</v>
      </c>
      <c r="J13" s="2" t="s">
        <v>528</v>
      </c>
      <c r="L13" s="2" t="s">
        <v>1101</v>
      </c>
    </row>
    <row r="14" spans="1:14" ht="18" customHeight="1" x14ac:dyDescent="0.35">
      <c r="A14" s="2" t="s">
        <v>1100</v>
      </c>
      <c r="B14" s="70">
        <v>46243</v>
      </c>
      <c r="C14" s="2" t="s">
        <v>1037</v>
      </c>
      <c r="D14" s="37" t="str">
        <f>IFERROR(INDEX(TB_COA!$B$5:$B$1000,MATCH(C14,TB_COA!$A$5:$A$1000,0)),"")</f>
        <v>Revenue - Package Tours</v>
      </c>
      <c r="E14" s="2">
        <v>0</v>
      </c>
      <c r="F14" s="37">
        <f>E13/1.14</f>
        <v>1011789.4736842106</v>
      </c>
      <c r="G14" s="37">
        <f>G13/1.14</f>
        <v>18947.368421052633</v>
      </c>
      <c r="H14" s="2" t="s">
        <v>313</v>
      </c>
      <c r="I14" s="2">
        <v>53.4</v>
      </c>
      <c r="J14" s="2" t="s">
        <v>528</v>
      </c>
      <c r="L14" s="2" t="s">
        <v>1102</v>
      </c>
    </row>
    <row r="15" spans="1:14" ht="18" customHeight="1" x14ac:dyDescent="0.35">
      <c r="A15" s="2" t="s">
        <v>1100</v>
      </c>
      <c r="B15" s="70">
        <v>46243</v>
      </c>
      <c r="C15" s="2" t="s">
        <v>1026</v>
      </c>
      <c r="D15" s="37" t="str">
        <f>IFERROR(INDEX(TB_COA!$B$5:$B$1000,MATCH(C15,TB_COA!$A$5:$A$1000,0)),"")</f>
        <v>Output VAT Payable (14%)</v>
      </c>
      <c r="E15" s="2">
        <v>0</v>
      </c>
      <c r="F15" s="37">
        <f>E13-F14</f>
        <v>141650.52631578944</v>
      </c>
      <c r="G15" s="37">
        <f>G13-G14</f>
        <v>2652.6315789473665</v>
      </c>
      <c r="H15" s="2" t="s">
        <v>313</v>
      </c>
      <c r="I15" s="2">
        <v>53.4</v>
      </c>
      <c r="J15" s="2" t="s">
        <v>528</v>
      </c>
      <c r="L15" s="2" t="s">
        <v>1103</v>
      </c>
    </row>
    <row r="16" spans="1:14" ht="18" customHeight="1" x14ac:dyDescent="0.35">
      <c r="A16" s="2" t="s">
        <v>1104</v>
      </c>
      <c r="B16" s="70">
        <v>46245</v>
      </c>
      <c r="C16" s="2" t="s">
        <v>994</v>
      </c>
      <c r="D16" s="37" t="str">
        <f>IFERROR(INDEX(TB_COA!$B$5:$B$1000,MATCH(C16,TB_COA!$A$5:$A$1000,0)),"")</f>
        <v>AR - Foreign Tour Operators (Control)</v>
      </c>
      <c r="E16" s="37">
        <f>TB_Master_Bookings!M8</f>
        <v>156201.60000000001</v>
      </c>
      <c r="F16" s="2">
        <v>0</v>
      </c>
      <c r="G16" s="37">
        <f>TB_Master_Bookings!K8</f>
        <v>3180</v>
      </c>
      <c r="H16" s="2" t="s">
        <v>277</v>
      </c>
      <c r="I16" s="2">
        <v>49.12</v>
      </c>
      <c r="J16" s="2" t="s">
        <v>530</v>
      </c>
      <c r="L16" s="2" t="s">
        <v>1105</v>
      </c>
    </row>
    <row r="17" spans="1:12" ht="18" customHeight="1" x14ac:dyDescent="0.35">
      <c r="A17" s="2" t="s">
        <v>1104</v>
      </c>
      <c r="B17" s="70">
        <v>46245</v>
      </c>
      <c r="C17" s="2" t="s">
        <v>1037</v>
      </c>
      <c r="D17" s="37" t="str">
        <f>IFERROR(INDEX(TB_COA!$B$5:$B$1000,MATCH(C17,TB_COA!$A$5:$A$1000,0)),"")</f>
        <v>Revenue - Package Tours</v>
      </c>
      <c r="E17" s="2">
        <v>0</v>
      </c>
      <c r="F17" s="37">
        <f>E16/1.14</f>
        <v>137018.94736842107</v>
      </c>
      <c r="G17" s="37">
        <f>G16/1.14</f>
        <v>2789.4736842105267</v>
      </c>
      <c r="H17" s="2" t="s">
        <v>277</v>
      </c>
      <c r="I17" s="2">
        <v>49.12</v>
      </c>
      <c r="J17" s="2" t="s">
        <v>530</v>
      </c>
      <c r="L17" s="2" t="s">
        <v>1106</v>
      </c>
    </row>
    <row r="18" spans="1:12" ht="18" customHeight="1" x14ac:dyDescent="0.35">
      <c r="A18" s="2" t="s">
        <v>1104</v>
      </c>
      <c r="B18" s="70">
        <v>46245</v>
      </c>
      <c r="C18" s="2" t="s">
        <v>1026</v>
      </c>
      <c r="D18" s="37" t="str">
        <f>IFERROR(INDEX(TB_COA!$B$5:$B$1000,MATCH(C18,TB_COA!$A$5:$A$1000,0)),"")</f>
        <v>Output VAT Payable (14%)</v>
      </c>
      <c r="E18" s="2">
        <v>0</v>
      </c>
      <c r="F18" s="37">
        <f>E16-F17</f>
        <v>19182.652631578938</v>
      </c>
      <c r="G18" s="37">
        <f>G16-G17</f>
        <v>390.5263157894733</v>
      </c>
      <c r="H18" s="2" t="s">
        <v>277</v>
      </c>
      <c r="I18" s="2">
        <v>49.12</v>
      </c>
      <c r="J18" s="2" t="s">
        <v>530</v>
      </c>
      <c r="L18" s="2" t="s">
        <v>1107</v>
      </c>
    </row>
    <row r="19" spans="1:12" ht="18" customHeight="1" x14ac:dyDescent="0.35">
      <c r="A19" s="2" t="s">
        <v>1108</v>
      </c>
      <c r="B19" s="70">
        <v>46256</v>
      </c>
      <c r="C19" s="2" t="s">
        <v>994</v>
      </c>
      <c r="D19" s="37" t="str">
        <f>IFERROR(INDEX(TB_COA!$B$5:$B$1000,MATCH(C19,TB_COA!$A$5:$A$1000,0)),"")</f>
        <v>AR - Foreign Tour Operators (Control)</v>
      </c>
      <c r="E19" s="37">
        <f>TB_Master_Bookings!M10</f>
        <v>7208600</v>
      </c>
      <c r="F19" s="2">
        <v>0</v>
      </c>
      <c r="G19" s="37">
        <f>TB_Master_Bookings!K10</f>
        <v>133000</v>
      </c>
      <c r="H19" s="2" t="s">
        <v>313</v>
      </c>
      <c r="I19" s="2">
        <v>54.2</v>
      </c>
      <c r="J19" s="2" t="s">
        <v>535</v>
      </c>
      <c r="L19" s="2" t="s">
        <v>1109</v>
      </c>
    </row>
    <row r="20" spans="1:12" ht="18" customHeight="1" x14ac:dyDescent="0.35">
      <c r="A20" s="2" t="s">
        <v>1108</v>
      </c>
      <c r="B20" s="70">
        <v>46256</v>
      </c>
      <c r="C20" s="2" t="s">
        <v>1037</v>
      </c>
      <c r="D20" s="37" t="str">
        <f>IFERROR(INDEX(TB_COA!$B$5:$B$1000,MATCH(C20,TB_COA!$A$5:$A$1000,0)),"")</f>
        <v>Revenue - Package Tours</v>
      </c>
      <c r="E20" s="2">
        <v>0</v>
      </c>
      <c r="F20" s="37">
        <f>E19/1.14</f>
        <v>6323333.333333334</v>
      </c>
      <c r="G20" s="37">
        <f>G19/1.14</f>
        <v>116666.66666666667</v>
      </c>
      <c r="H20" s="2" t="s">
        <v>313</v>
      </c>
      <c r="I20" s="2">
        <v>54.2</v>
      </c>
      <c r="J20" s="2" t="s">
        <v>535</v>
      </c>
      <c r="L20" s="2" t="s">
        <v>1110</v>
      </c>
    </row>
    <row r="21" spans="1:12" ht="18" customHeight="1" x14ac:dyDescent="0.35">
      <c r="A21" s="2" t="s">
        <v>1108</v>
      </c>
      <c r="B21" s="70">
        <v>46256</v>
      </c>
      <c r="C21" s="2" t="s">
        <v>1026</v>
      </c>
      <c r="D21" s="37" t="str">
        <f>IFERROR(INDEX(TB_COA!$B$5:$B$1000,MATCH(C21,TB_COA!$A$5:$A$1000,0)),"")</f>
        <v>Output VAT Payable (14%)</v>
      </c>
      <c r="E21" s="2">
        <v>0</v>
      </c>
      <c r="F21" s="37">
        <f>E19-F20</f>
        <v>885266.66666666605</v>
      </c>
      <c r="G21" s="37">
        <f>G19-G20</f>
        <v>16333.333333333328</v>
      </c>
      <c r="H21" s="2" t="s">
        <v>313</v>
      </c>
      <c r="I21" s="2">
        <v>54.2</v>
      </c>
      <c r="J21" s="2" t="s">
        <v>535</v>
      </c>
      <c r="L21" s="2" t="s">
        <v>1111</v>
      </c>
    </row>
    <row r="22" spans="1:12" ht="18" customHeight="1" x14ac:dyDescent="0.35">
      <c r="A22" s="2" t="s">
        <v>808</v>
      </c>
      <c r="B22" s="70">
        <v>46256</v>
      </c>
      <c r="C22" s="2" t="s">
        <v>994</v>
      </c>
      <c r="D22" s="37" t="str">
        <f>IFERROR(INDEX(TB_COA!$B$5:$B$1000,MATCH(C22,TB_COA!$A$5:$A$1000,0)),"")</f>
        <v>AR - Foreign Tour Operators (Control)</v>
      </c>
      <c r="E22" s="37">
        <f>TB_Master_Bookings!M11</f>
        <v>1190595</v>
      </c>
      <c r="F22" s="2">
        <v>0</v>
      </c>
      <c r="G22" s="37">
        <f>TB_Master_Bookings!K11</f>
        <v>24150</v>
      </c>
      <c r="H22" s="2" t="s">
        <v>277</v>
      </c>
      <c r="I22" s="2">
        <v>49.3</v>
      </c>
      <c r="J22" s="2" t="s">
        <v>538</v>
      </c>
      <c r="L22" s="2" t="s">
        <v>1112</v>
      </c>
    </row>
    <row r="23" spans="1:12" ht="18" customHeight="1" x14ac:dyDescent="0.35">
      <c r="A23" s="2" t="s">
        <v>808</v>
      </c>
      <c r="B23" s="70">
        <v>46256</v>
      </c>
      <c r="C23" s="2" t="s">
        <v>1037</v>
      </c>
      <c r="D23" s="37" t="str">
        <f>IFERROR(INDEX(TB_COA!$B$5:$B$1000,MATCH(C23,TB_COA!$A$5:$A$1000,0)),"")</f>
        <v>Revenue - Package Tours</v>
      </c>
      <c r="E23" s="2">
        <v>0</v>
      </c>
      <c r="F23" s="37">
        <f>E22/1.14</f>
        <v>1044381.5789473685</v>
      </c>
      <c r="G23" s="37">
        <f>G22/1.14</f>
        <v>21184.21052631579</v>
      </c>
      <c r="H23" s="2" t="s">
        <v>277</v>
      </c>
      <c r="I23" s="2">
        <v>49.3</v>
      </c>
      <c r="J23" s="2" t="s">
        <v>538</v>
      </c>
      <c r="L23" s="2" t="s">
        <v>1113</v>
      </c>
    </row>
    <row r="24" spans="1:12" ht="18" customHeight="1" x14ac:dyDescent="0.35">
      <c r="A24" s="2" t="s">
        <v>808</v>
      </c>
      <c r="B24" s="70">
        <v>46256</v>
      </c>
      <c r="C24" s="2" t="s">
        <v>1026</v>
      </c>
      <c r="D24" s="37" t="str">
        <f>IFERROR(INDEX(TB_COA!$B$5:$B$1000,MATCH(C24,TB_COA!$A$5:$A$1000,0)),"")</f>
        <v>Output VAT Payable (14%)</v>
      </c>
      <c r="E24" s="2">
        <v>0</v>
      </c>
      <c r="F24" s="37">
        <f>E22-F23</f>
        <v>146213.42105263146</v>
      </c>
      <c r="G24" s="37">
        <f>G22-G23</f>
        <v>2965.78947368421</v>
      </c>
      <c r="H24" s="2" t="s">
        <v>277</v>
      </c>
      <c r="I24" s="2">
        <v>49.3</v>
      </c>
      <c r="J24" s="2" t="s">
        <v>538</v>
      </c>
      <c r="L24" s="2" t="s">
        <v>1114</v>
      </c>
    </row>
    <row r="25" spans="1:12" ht="18" customHeight="1" x14ac:dyDescent="0.35">
      <c r="A25" s="2" t="s">
        <v>1115</v>
      </c>
      <c r="B25" s="70">
        <v>46258</v>
      </c>
      <c r="C25" s="2" t="s">
        <v>994</v>
      </c>
      <c r="D25" s="37" t="str">
        <f>IFERROR(INDEX(TB_COA!$B$5:$B$1000,MATCH(C25,TB_COA!$A$5:$A$1000,0)),"")</f>
        <v>AR - Foreign Tour Operators (Control)</v>
      </c>
      <c r="E25" s="37">
        <f>TB_Master_Bookings!M12</f>
        <v>1376320</v>
      </c>
      <c r="F25" s="2">
        <v>0</v>
      </c>
      <c r="G25" s="37">
        <f>TB_Master_Bookings!K12</f>
        <v>21760</v>
      </c>
      <c r="H25" s="2" t="s">
        <v>409</v>
      </c>
      <c r="I25" s="2">
        <v>63.25</v>
      </c>
      <c r="J25" s="2" t="s">
        <v>540</v>
      </c>
      <c r="L25" s="2" t="s">
        <v>1116</v>
      </c>
    </row>
    <row r="26" spans="1:12" ht="18" customHeight="1" x14ac:dyDescent="0.35">
      <c r="A26" s="2" t="s">
        <v>1115</v>
      </c>
      <c r="B26" s="70">
        <v>46258</v>
      </c>
      <c r="C26" s="2" t="s">
        <v>1037</v>
      </c>
      <c r="D26" s="37" t="str">
        <f>IFERROR(INDEX(TB_COA!$B$5:$B$1000,MATCH(C26,TB_COA!$A$5:$A$1000,0)),"")</f>
        <v>Revenue - Package Tours</v>
      </c>
      <c r="E26" s="2">
        <v>0</v>
      </c>
      <c r="F26" s="37">
        <f>E25/1.14</f>
        <v>1207298.2456140353</v>
      </c>
      <c r="G26" s="37">
        <f>G25/1.14</f>
        <v>19087.719298245614</v>
      </c>
      <c r="H26" s="2" t="s">
        <v>409</v>
      </c>
      <c r="I26" s="2">
        <v>63.25</v>
      </c>
      <c r="J26" s="2" t="s">
        <v>540</v>
      </c>
      <c r="L26" s="2" t="s">
        <v>1117</v>
      </c>
    </row>
    <row r="27" spans="1:12" ht="18" customHeight="1" x14ac:dyDescent="0.35">
      <c r="A27" s="2" t="s">
        <v>1115</v>
      </c>
      <c r="B27" s="70">
        <v>46258</v>
      </c>
      <c r="C27" s="2" t="s">
        <v>1026</v>
      </c>
      <c r="D27" s="37" t="str">
        <f>IFERROR(INDEX(TB_COA!$B$5:$B$1000,MATCH(C27,TB_COA!$A$5:$A$1000,0)),"")</f>
        <v>Output VAT Payable (14%)</v>
      </c>
      <c r="E27" s="2">
        <v>0</v>
      </c>
      <c r="F27" s="37">
        <f>E25-F26</f>
        <v>169021.75438596471</v>
      </c>
      <c r="G27" s="37">
        <f>G25-G26</f>
        <v>2672.2807017543855</v>
      </c>
      <c r="H27" s="2" t="s">
        <v>409</v>
      </c>
      <c r="I27" s="2">
        <v>63.25</v>
      </c>
      <c r="J27" s="2" t="s">
        <v>540</v>
      </c>
      <c r="L27" s="2" t="s">
        <v>1118</v>
      </c>
    </row>
    <row r="28" spans="1:12" ht="18" customHeight="1" x14ac:dyDescent="0.35">
      <c r="A28" s="2" t="s">
        <v>792</v>
      </c>
      <c r="B28" s="70">
        <v>46256</v>
      </c>
      <c r="C28" s="2" t="s">
        <v>994</v>
      </c>
      <c r="D28" s="37" t="str">
        <f>IFERROR(INDEX(TB_COA!$B$5:$B$1000,MATCH(C28,TB_COA!$A$5:$A$1000,0)),"")</f>
        <v>AR - Foreign Tour Operators (Control)</v>
      </c>
      <c r="E28" s="37">
        <f>TB_Master_Bookings!M13</f>
        <v>2070599.9999999998</v>
      </c>
      <c r="F28" s="2">
        <v>0</v>
      </c>
      <c r="G28" s="37">
        <f>TB_Master_Bookings!K13</f>
        <v>42000</v>
      </c>
      <c r="H28" s="2" t="s">
        <v>277</v>
      </c>
      <c r="I28" s="2">
        <v>49.3</v>
      </c>
      <c r="J28" s="2" t="s">
        <v>542</v>
      </c>
      <c r="L28" s="2" t="s">
        <v>1119</v>
      </c>
    </row>
    <row r="29" spans="1:12" ht="18" customHeight="1" x14ac:dyDescent="0.35">
      <c r="A29" s="2" t="s">
        <v>792</v>
      </c>
      <c r="B29" s="70">
        <v>46256</v>
      </c>
      <c r="C29" s="2" t="s">
        <v>1037</v>
      </c>
      <c r="D29" s="37" t="str">
        <f>IFERROR(INDEX(TB_COA!$B$5:$B$1000,MATCH(C29,TB_COA!$A$5:$A$1000,0)),"")</f>
        <v>Revenue - Package Tours</v>
      </c>
      <c r="E29" s="2">
        <v>0</v>
      </c>
      <c r="F29" s="37">
        <f>E28/1.14</f>
        <v>1816315.7894736843</v>
      </c>
      <c r="G29" s="37">
        <f>G28/1.14</f>
        <v>36842.1052631579</v>
      </c>
      <c r="H29" s="2" t="s">
        <v>277</v>
      </c>
      <c r="I29" s="2">
        <v>49.3</v>
      </c>
      <c r="J29" s="2" t="s">
        <v>542</v>
      </c>
      <c r="L29" s="2" t="s">
        <v>1120</v>
      </c>
    </row>
    <row r="30" spans="1:12" ht="18" customHeight="1" x14ac:dyDescent="0.35">
      <c r="A30" s="2" t="s">
        <v>792</v>
      </c>
      <c r="B30" s="70">
        <v>46256</v>
      </c>
      <c r="C30" s="2" t="s">
        <v>1026</v>
      </c>
      <c r="D30" s="37" t="str">
        <f>IFERROR(INDEX(TB_COA!$B$5:$B$1000,MATCH(C30,TB_COA!$A$5:$A$1000,0)),"")</f>
        <v>Output VAT Payable (14%)</v>
      </c>
      <c r="E30" s="2">
        <v>0</v>
      </c>
      <c r="F30" s="37">
        <f>E28-F29</f>
        <v>254284.2105263155</v>
      </c>
      <c r="G30" s="37">
        <f>G28-G29</f>
        <v>5157.8947368420995</v>
      </c>
      <c r="H30" s="2" t="s">
        <v>277</v>
      </c>
      <c r="I30" s="2">
        <v>49.3</v>
      </c>
      <c r="J30" s="2" t="s">
        <v>542</v>
      </c>
      <c r="L30" s="2" t="s">
        <v>1121</v>
      </c>
    </row>
    <row r="31" spans="1:12" ht="18" customHeight="1" x14ac:dyDescent="0.35">
      <c r="A31" s="2" t="s">
        <v>822</v>
      </c>
      <c r="B31" s="70">
        <v>46259</v>
      </c>
      <c r="C31" s="2" t="s">
        <v>994</v>
      </c>
      <c r="D31" s="37" t="str">
        <f>IFERROR(INDEX(TB_COA!$B$5:$B$1000,MATCH(C31,TB_COA!$A$5:$A$1000,0)),"")</f>
        <v>AR - Foreign Tour Operators (Control)</v>
      </c>
      <c r="E31" s="37">
        <f>TB_Master_Bookings!M14</f>
        <v>2103920</v>
      </c>
      <c r="F31" s="2">
        <v>0</v>
      </c>
      <c r="G31" s="37">
        <f>TB_Master_Bookings!K14</f>
        <v>38675</v>
      </c>
      <c r="H31" s="2" t="s">
        <v>313</v>
      </c>
      <c r="I31" s="2">
        <v>54.4</v>
      </c>
      <c r="J31" s="2" t="s">
        <v>544</v>
      </c>
      <c r="L31" s="2" t="s">
        <v>1122</v>
      </c>
    </row>
    <row r="32" spans="1:12" ht="18" customHeight="1" x14ac:dyDescent="0.35">
      <c r="A32" s="2" t="s">
        <v>822</v>
      </c>
      <c r="B32" s="70">
        <v>46259</v>
      </c>
      <c r="C32" s="2" t="s">
        <v>1037</v>
      </c>
      <c r="D32" s="37" t="str">
        <f>IFERROR(INDEX(TB_COA!$B$5:$B$1000,MATCH(C32,TB_COA!$A$5:$A$1000,0)),"")</f>
        <v>Revenue - Package Tours</v>
      </c>
      <c r="E32" s="2">
        <v>0</v>
      </c>
      <c r="F32" s="37">
        <f>E31/1.14</f>
        <v>1845543.8596491229</v>
      </c>
      <c r="G32" s="37">
        <f>G31/1.14</f>
        <v>33925.438596491229</v>
      </c>
      <c r="H32" s="2" t="s">
        <v>313</v>
      </c>
      <c r="I32" s="2">
        <v>54.4</v>
      </c>
      <c r="J32" s="2" t="s">
        <v>544</v>
      </c>
      <c r="L32" s="2" t="s">
        <v>1123</v>
      </c>
    </row>
    <row r="33" spans="1:12" ht="18" customHeight="1" x14ac:dyDescent="0.35">
      <c r="A33" s="2" t="s">
        <v>822</v>
      </c>
      <c r="B33" s="70">
        <v>46259</v>
      </c>
      <c r="C33" s="2" t="s">
        <v>1026</v>
      </c>
      <c r="D33" s="37" t="str">
        <f>IFERROR(INDEX(TB_COA!$B$5:$B$1000,MATCH(C33,TB_COA!$A$5:$A$1000,0)),"")</f>
        <v>Output VAT Payable (14%)</v>
      </c>
      <c r="E33" s="2">
        <v>0</v>
      </c>
      <c r="F33" s="37">
        <f>E31-F32</f>
        <v>258376.14035087707</v>
      </c>
      <c r="G33" s="37">
        <f>G31-G32</f>
        <v>4749.561403508771</v>
      </c>
      <c r="H33" s="2" t="s">
        <v>313</v>
      </c>
      <c r="I33" s="2">
        <v>54.4</v>
      </c>
      <c r="J33" s="2" t="s">
        <v>544</v>
      </c>
      <c r="L33" s="2" t="s">
        <v>1124</v>
      </c>
    </row>
    <row r="34" spans="1:12" ht="18" customHeight="1" x14ac:dyDescent="0.35">
      <c r="A34" s="2" t="s">
        <v>1125</v>
      </c>
      <c r="B34" s="70">
        <v>46242</v>
      </c>
      <c r="C34" s="2" t="s">
        <v>1051</v>
      </c>
      <c r="D34" s="37" t="str">
        <f>IFERROR(INDEX(TB_COA!$B$5:$B$1000,MATCH(C34,TB_COA!$A$5:$A$1000,0)),"")</f>
        <v>COGS - Package Tours</v>
      </c>
      <c r="E34" s="37">
        <f>TB_AP_Invoices!K4</f>
        <v>4717263.1578947371</v>
      </c>
      <c r="F34" s="2">
        <v>0</v>
      </c>
      <c r="G34" s="37">
        <f>TB_AP_Invoices!I4</f>
        <v>100800</v>
      </c>
      <c r="H34" s="2" t="s">
        <v>313</v>
      </c>
      <c r="I34" s="2">
        <v>53.35</v>
      </c>
      <c r="J34" s="2" t="s">
        <v>553</v>
      </c>
      <c r="L34" s="2" t="s">
        <v>1126</v>
      </c>
    </row>
    <row r="35" spans="1:12" ht="18" customHeight="1" x14ac:dyDescent="0.35">
      <c r="A35" s="2" t="s">
        <v>1125</v>
      </c>
      <c r="B35" s="70">
        <v>46242</v>
      </c>
      <c r="C35" s="2" t="s">
        <v>804</v>
      </c>
      <c r="D35" s="37" t="str">
        <f>IFERROR(INDEX(TB_COA!$B$5:$B$1000,MATCH(C35,TB_COA!$A$5:$A$1000,0)),"")</f>
        <v>VAT Recoverable / Input VAT</v>
      </c>
      <c r="E35" s="37">
        <f>TB_AP_Invoices!L4</f>
        <v>660416.84210526291</v>
      </c>
      <c r="F35" s="2">
        <v>0</v>
      </c>
      <c r="G35" s="2">
        <v>0</v>
      </c>
      <c r="J35" s="2" t="s">
        <v>553</v>
      </c>
      <c r="L35" s="2" t="s">
        <v>1127</v>
      </c>
    </row>
    <row r="36" spans="1:12" ht="18" customHeight="1" x14ac:dyDescent="0.35">
      <c r="A36" s="2" t="s">
        <v>1125</v>
      </c>
      <c r="B36" s="70">
        <v>46242</v>
      </c>
      <c r="C36" s="2" t="s">
        <v>1014</v>
      </c>
      <c r="D36" s="37" t="str">
        <f>IFERROR(INDEX(TB_COA!$B$5:$B$1000,MATCH(C36,TB_COA!$A$5:$A$1000,0)),"")</f>
        <v>AP - Foreign Hotels &amp; Suppliers</v>
      </c>
      <c r="E36" s="2">
        <v>0</v>
      </c>
      <c r="F36" s="37">
        <f>TB_AP_Invoices!M4</f>
        <v>5377680</v>
      </c>
      <c r="G36" s="37">
        <f>TB_AP_Invoices!I4</f>
        <v>100800</v>
      </c>
      <c r="H36" s="2" t="s">
        <v>313</v>
      </c>
      <c r="I36" s="2">
        <v>53.35</v>
      </c>
      <c r="J36" s="2" t="s">
        <v>553</v>
      </c>
      <c r="L36" s="2" t="s">
        <v>1128</v>
      </c>
    </row>
    <row r="37" spans="1:12" ht="18" customHeight="1" x14ac:dyDescent="0.35">
      <c r="A37" s="2" t="s">
        <v>1129</v>
      </c>
      <c r="B37" s="70">
        <v>46243</v>
      </c>
      <c r="C37" s="2" t="s">
        <v>1051</v>
      </c>
      <c r="D37" s="37" t="str">
        <f>IFERROR(INDEX(TB_COA!$B$5:$B$1000,MATCH(C37,TB_COA!$A$5:$A$1000,0)),"")</f>
        <v>COGS - Package Tours</v>
      </c>
      <c r="E37" s="37">
        <f>TB_AP_Invoices!K5</f>
        <v>882221.05263157899</v>
      </c>
      <c r="F37" s="2">
        <v>0</v>
      </c>
      <c r="G37" s="37">
        <f>TB_AP_Invoices!I5</f>
        <v>20475</v>
      </c>
      <c r="H37" s="2" t="s">
        <v>277</v>
      </c>
      <c r="I37" s="2">
        <v>49.12</v>
      </c>
      <c r="J37" s="2" t="s">
        <v>555</v>
      </c>
      <c r="L37" s="2" t="s">
        <v>1130</v>
      </c>
    </row>
    <row r="38" spans="1:12" ht="18" customHeight="1" x14ac:dyDescent="0.35">
      <c r="A38" s="2" t="s">
        <v>1129</v>
      </c>
      <c r="B38" s="70">
        <v>46243</v>
      </c>
      <c r="C38" s="2" t="s">
        <v>804</v>
      </c>
      <c r="D38" s="37" t="str">
        <f>IFERROR(INDEX(TB_COA!$B$5:$B$1000,MATCH(C38,TB_COA!$A$5:$A$1000,0)),"")</f>
        <v>VAT Recoverable / Input VAT</v>
      </c>
      <c r="E38" s="37">
        <f>TB_AP_Invoices!L5</f>
        <v>123510.94736842101</v>
      </c>
      <c r="F38" s="2">
        <v>0</v>
      </c>
      <c r="G38" s="2">
        <v>0</v>
      </c>
      <c r="J38" s="2" t="s">
        <v>555</v>
      </c>
      <c r="L38" s="2" t="s">
        <v>1131</v>
      </c>
    </row>
    <row r="39" spans="1:12" ht="18" customHeight="1" x14ac:dyDescent="0.35">
      <c r="A39" s="2" t="s">
        <v>1129</v>
      </c>
      <c r="B39" s="70">
        <v>46243</v>
      </c>
      <c r="C39" s="2" t="s">
        <v>1014</v>
      </c>
      <c r="D39" s="37" t="str">
        <f>IFERROR(INDEX(TB_COA!$B$5:$B$1000,MATCH(C39,TB_COA!$A$5:$A$1000,0)),"")</f>
        <v>AP - Foreign Hotels &amp; Suppliers</v>
      </c>
      <c r="E39" s="2">
        <v>0</v>
      </c>
      <c r="F39" s="37">
        <f>TB_AP_Invoices!M5</f>
        <v>1005732</v>
      </c>
      <c r="G39" s="37">
        <f>TB_AP_Invoices!I5</f>
        <v>20475</v>
      </c>
      <c r="H39" s="2" t="s">
        <v>277</v>
      </c>
      <c r="I39" s="2">
        <v>49.12</v>
      </c>
      <c r="J39" s="2" t="s">
        <v>555</v>
      </c>
      <c r="L39" s="2" t="s">
        <v>1132</v>
      </c>
    </row>
    <row r="40" spans="1:12" ht="18" customHeight="1" x14ac:dyDescent="0.35">
      <c r="A40" s="2" t="s">
        <v>1133</v>
      </c>
      <c r="B40" s="70">
        <v>46244</v>
      </c>
      <c r="C40" s="2" t="s">
        <v>1051</v>
      </c>
      <c r="D40" s="37" t="str">
        <f>IFERROR(INDEX(TB_COA!$B$5:$B$1000,MATCH(C40,TB_COA!$A$5:$A$1000,0)),"")</f>
        <v>COGS - Package Tours</v>
      </c>
      <c r="E40" s="37">
        <f>TB_AP_Invoices!K6</f>
        <v>711531.57894736843</v>
      </c>
      <c r="F40" s="2">
        <v>0</v>
      </c>
      <c r="G40" s="37">
        <f>TB_AP_Invoices!I6</f>
        <v>13020</v>
      </c>
      <c r="H40" s="2" t="s">
        <v>409</v>
      </c>
      <c r="I40" s="2">
        <v>62.3</v>
      </c>
      <c r="J40" s="2" t="s">
        <v>556</v>
      </c>
      <c r="L40" s="2" t="s">
        <v>1134</v>
      </c>
    </row>
    <row r="41" spans="1:12" ht="18" customHeight="1" x14ac:dyDescent="0.35">
      <c r="A41" s="2" t="s">
        <v>1133</v>
      </c>
      <c r="B41" s="70">
        <v>46244</v>
      </c>
      <c r="C41" s="2" t="s">
        <v>804</v>
      </c>
      <c r="D41" s="37" t="str">
        <f>IFERROR(INDEX(TB_COA!$B$5:$B$1000,MATCH(C41,TB_COA!$A$5:$A$1000,0)),"")</f>
        <v>VAT Recoverable / Input VAT</v>
      </c>
      <c r="E41" s="37">
        <f>TB_AP_Invoices!L6</f>
        <v>99614.421052631573</v>
      </c>
      <c r="F41" s="2">
        <v>0</v>
      </c>
      <c r="G41" s="2">
        <v>0</v>
      </c>
      <c r="J41" s="2" t="s">
        <v>556</v>
      </c>
      <c r="L41" s="2" t="s">
        <v>1135</v>
      </c>
    </row>
    <row r="42" spans="1:12" ht="18" customHeight="1" x14ac:dyDescent="0.35">
      <c r="A42" s="2" t="s">
        <v>1133</v>
      </c>
      <c r="B42" s="70">
        <v>46244</v>
      </c>
      <c r="C42" s="2" t="s">
        <v>1014</v>
      </c>
      <c r="D42" s="37" t="str">
        <f>IFERROR(INDEX(TB_COA!$B$5:$B$1000,MATCH(C42,TB_COA!$A$5:$A$1000,0)),"")</f>
        <v>AP - Foreign Hotels &amp; Suppliers</v>
      </c>
      <c r="E42" s="2">
        <v>0</v>
      </c>
      <c r="F42" s="37">
        <f>TB_AP_Invoices!M6</f>
        <v>811146</v>
      </c>
      <c r="G42" s="37">
        <f>TB_AP_Invoices!I6</f>
        <v>13020</v>
      </c>
      <c r="H42" s="2" t="s">
        <v>409</v>
      </c>
      <c r="I42" s="2">
        <v>62.3</v>
      </c>
      <c r="J42" s="2" t="s">
        <v>556</v>
      </c>
      <c r="L42" s="2" t="s">
        <v>1136</v>
      </c>
    </row>
    <row r="43" spans="1:12" ht="18" customHeight="1" x14ac:dyDescent="0.35">
      <c r="A43" s="2" t="s">
        <v>1137</v>
      </c>
      <c r="B43" s="70">
        <v>46241</v>
      </c>
      <c r="C43" s="2" t="s">
        <v>1051</v>
      </c>
      <c r="D43" s="37" t="str">
        <f>IFERROR(INDEX(TB_COA!$B$5:$B$1000,MATCH(C43,TB_COA!$A$5:$A$1000,0)),"")</f>
        <v>COGS - Package Tours</v>
      </c>
      <c r="E43" s="37">
        <f>(TB_Hotel_Accruals!I7/1.14)</f>
        <v>809431.57894736854</v>
      </c>
      <c r="F43" s="2">
        <v>0</v>
      </c>
      <c r="G43" s="37">
        <f>TB_Hotel_Accruals!G7</f>
        <v>17280</v>
      </c>
      <c r="H43" s="2" t="s">
        <v>313</v>
      </c>
      <c r="I43" s="2">
        <v>53.4</v>
      </c>
      <c r="J43" s="2" t="s">
        <v>557</v>
      </c>
      <c r="L43" s="2" t="s">
        <v>1138</v>
      </c>
    </row>
    <row r="44" spans="1:12" ht="18" customHeight="1" x14ac:dyDescent="0.35">
      <c r="A44" s="2" t="s">
        <v>1137</v>
      </c>
      <c r="B44" s="70">
        <v>46241</v>
      </c>
      <c r="C44" s="2" t="s">
        <v>804</v>
      </c>
      <c r="D44" s="37" t="str">
        <f>IFERROR(INDEX(TB_COA!$B$5:$B$1000,MATCH(C44,TB_COA!$A$5:$A$1000,0)),"")</f>
        <v>VAT Recoverable / Input VAT</v>
      </c>
      <c r="E44" s="37">
        <f>TB_Hotel_Accruals!I7-(TB_Hotel_Accruals!I7/1.14)</f>
        <v>113320.42105263146</v>
      </c>
      <c r="F44" s="2">
        <v>0</v>
      </c>
      <c r="G44" s="2">
        <v>0</v>
      </c>
      <c r="J44" s="2" t="s">
        <v>557</v>
      </c>
      <c r="L44" s="2" t="s">
        <v>1139</v>
      </c>
    </row>
    <row r="45" spans="1:12" ht="18" customHeight="1" x14ac:dyDescent="0.35">
      <c r="A45" s="2" t="s">
        <v>1137</v>
      </c>
      <c r="B45" s="70">
        <v>46241</v>
      </c>
      <c r="C45" s="2" t="s">
        <v>1014</v>
      </c>
      <c r="D45" s="37" t="str">
        <f>IFERROR(INDEX(TB_COA!$B$5:$B$1000,MATCH(C45,TB_COA!$A$5:$A$1000,0)),"")</f>
        <v>AP - Foreign Hotels &amp; Suppliers</v>
      </c>
      <c r="E45" s="2">
        <v>0</v>
      </c>
      <c r="F45" s="37">
        <f>TB_Hotel_Accruals!I7</f>
        <v>922752</v>
      </c>
      <c r="G45" s="37">
        <f>TB_Hotel_Accruals!G7</f>
        <v>17280</v>
      </c>
      <c r="H45" s="2" t="s">
        <v>313</v>
      </c>
      <c r="I45" s="2">
        <v>53.4</v>
      </c>
      <c r="J45" s="2" t="s">
        <v>557</v>
      </c>
      <c r="L45" s="2" t="s">
        <v>1140</v>
      </c>
    </row>
    <row r="46" spans="1:12" ht="18" customHeight="1" x14ac:dyDescent="0.35">
      <c r="A46" s="2" t="s">
        <v>1141</v>
      </c>
      <c r="B46" s="70">
        <v>46243</v>
      </c>
      <c r="C46" s="2" t="s">
        <v>1051</v>
      </c>
      <c r="D46" s="37" t="str">
        <f>IFERROR(INDEX(TB_COA!$B$5:$B$1000,MATCH(C46,TB_COA!$A$5:$A$1000,0)),"")</f>
        <v>COGS - Package Tours</v>
      </c>
      <c r="E46" s="37">
        <f>(TB_Hotel_Accruals!I8/1.14)</f>
        <v>108581.05263157895</v>
      </c>
      <c r="F46" s="2">
        <v>0</v>
      </c>
      <c r="G46" s="37">
        <f>TB_Hotel_Accruals!G8</f>
        <v>2520</v>
      </c>
      <c r="H46" s="2" t="s">
        <v>277</v>
      </c>
      <c r="I46" s="2">
        <v>49.12</v>
      </c>
      <c r="J46" s="2" t="s">
        <v>558</v>
      </c>
      <c r="L46" s="2" t="s">
        <v>1142</v>
      </c>
    </row>
    <row r="47" spans="1:12" ht="18" customHeight="1" x14ac:dyDescent="0.35">
      <c r="A47" s="2" t="s">
        <v>1141</v>
      </c>
      <c r="B47" s="70">
        <v>46243</v>
      </c>
      <c r="C47" s="2" t="s">
        <v>804</v>
      </c>
      <c r="D47" s="37" t="str">
        <f>IFERROR(INDEX(TB_COA!$B$5:$B$1000,MATCH(C47,TB_COA!$A$5:$A$1000,0)),"")</f>
        <v>VAT Recoverable / Input VAT</v>
      </c>
      <c r="E47" s="37">
        <f>TB_Hotel_Accruals!I8-(TB_Hotel_Accruals!I8/1.14)</f>
        <v>15201.347368421048</v>
      </c>
      <c r="F47" s="2">
        <v>0</v>
      </c>
      <c r="G47" s="2">
        <v>0</v>
      </c>
      <c r="J47" s="2" t="s">
        <v>558</v>
      </c>
      <c r="L47" s="2" t="s">
        <v>1143</v>
      </c>
    </row>
    <row r="48" spans="1:12" ht="18" customHeight="1" x14ac:dyDescent="0.35">
      <c r="A48" s="2" t="s">
        <v>1141</v>
      </c>
      <c r="B48" s="70">
        <v>46243</v>
      </c>
      <c r="C48" s="2" t="s">
        <v>1014</v>
      </c>
      <c r="D48" s="37" t="str">
        <f>IFERROR(INDEX(TB_COA!$B$5:$B$1000,MATCH(C48,TB_COA!$A$5:$A$1000,0)),"")</f>
        <v>AP - Foreign Hotels &amp; Suppliers</v>
      </c>
      <c r="E48" s="2">
        <v>0</v>
      </c>
      <c r="F48" s="37">
        <f>TB_Hotel_Accruals!I8</f>
        <v>123782.39999999999</v>
      </c>
      <c r="G48" s="37">
        <f>TB_Hotel_Accruals!G8</f>
        <v>2520</v>
      </c>
      <c r="H48" s="2" t="s">
        <v>277</v>
      </c>
      <c r="I48" s="2">
        <v>49.12</v>
      </c>
      <c r="J48" s="2" t="s">
        <v>558</v>
      </c>
      <c r="L48" s="2" t="s">
        <v>1144</v>
      </c>
    </row>
    <row r="49" spans="1:12" ht="18" customHeight="1" x14ac:dyDescent="0.35">
      <c r="A49" s="2" t="s">
        <v>1145</v>
      </c>
      <c r="B49" s="70">
        <v>46256</v>
      </c>
      <c r="C49" s="2" t="s">
        <v>1051</v>
      </c>
      <c r="D49" s="37" t="str">
        <f>IFERROR(INDEX(TB_COA!$B$5:$B$1000,MATCH(C49,TB_COA!$A$5:$A$1000,0)),"")</f>
        <v>COGS - Package Tours</v>
      </c>
      <c r="E49" s="37">
        <f>TB_AP_Invoices!K7</f>
        <v>5058666.666666667</v>
      </c>
      <c r="F49" s="2">
        <v>0</v>
      </c>
      <c r="G49" s="37">
        <f>TB_AP_Invoices!I7</f>
        <v>106400</v>
      </c>
      <c r="H49" s="2" t="s">
        <v>313</v>
      </c>
      <c r="I49" s="2">
        <v>54.2</v>
      </c>
      <c r="J49" s="2" t="s">
        <v>559</v>
      </c>
      <c r="L49" s="2" t="s">
        <v>1146</v>
      </c>
    </row>
    <row r="50" spans="1:12" ht="18" customHeight="1" x14ac:dyDescent="0.35">
      <c r="A50" s="2" t="s">
        <v>1145</v>
      </c>
      <c r="B50" s="70">
        <v>46256</v>
      </c>
      <c r="C50" s="2" t="s">
        <v>804</v>
      </c>
      <c r="D50" s="37" t="str">
        <f>IFERROR(INDEX(TB_COA!$B$5:$B$1000,MATCH(C50,TB_COA!$A$5:$A$1000,0)),"")</f>
        <v>VAT Recoverable / Input VAT</v>
      </c>
      <c r="E50" s="37">
        <f>TB_AP_Invoices!L7</f>
        <v>708213.33333333302</v>
      </c>
      <c r="F50" s="2">
        <v>0</v>
      </c>
      <c r="G50" s="2">
        <v>0</v>
      </c>
      <c r="J50" s="2" t="s">
        <v>559</v>
      </c>
      <c r="L50" s="2" t="s">
        <v>1147</v>
      </c>
    </row>
    <row r="51" spans="1:12" ht="18" customHeight="1" x14ac:dyDescent="0.35">
      <c r="A51" s="2" t="s">
        <v>1145</v>
      </c>
      <c r="B51" s="70">
        <v>46256</v>
      </c>
      <c r="C51" s="2" t="s">
        <v>1014</v>
      </c>
      <c r="D51" s="37" t="str">
        <f>IFERROR(INDEX(TB_COA!$B$5:$B$1000,MATCH(C51,TB_COA!$A$5:$A$1000,0)),"")</f>
        <v>AP - Foreign Hotels &amp; Suppliers</v>
      </c>
      <c r="E51" s="2">
        <v>0</v>
      </c>
      <c r="F51" s="37">
        <f>TB_AP_Invoices!M7</f>
        <v>5766880</v>
      </c>
      <c r="G51" s="37">
        <f>TB_AP_Invoices!I7</f>
        <v>106400</v>
      </c>
      <c r="H51" s="2" t="s">
        <v>313</v>
      </c>
      <c r="I51" s="2">
        <v>54.2</v>
      </c>
      <c r="J51" s="2" t="s">
        <v>559</v>
      </c>
      <c r="L51" s="2" t="s">
        <v>1148</v>
      </c>
    </row>
    <row r="52" spans="1:12" ht="18" customHeight="1" x14ac:dyDescent="0.35">
      <c r="A52" s="2" t="s">
        <v>1149</v>
      </c>
      <c r="B52" s="70">
        <v>46256</v>
      </c>
      <c r="C52" s="2" t="s">
        <v>1051</v>
      </c>
      <c r="D52" s="37" t="str">
        <f>IFERROR(INDEX(TB_COA!$B$5:$B$1000,MATCH(C52,TB_COA!$A$5:$A$1000,0)),"")</f>
        <v>COGS - Package Tours</v>
      </c>
      <c r="E52" s="37">
        <f>TB_AP_Invoices!K8</f>
        <v>835505.26315789483</v>
      </c>
      <c r="F52" s="2">
        <v>0</v>
      </c>
      <c r="G52" s="37">
        <f>TB_AP_Invoices!I8</f>
        <v>19320</v>
      </c>
      <c r="H52" s="2" t="s">
        <v>277</v>
      </c>
      <c r="I52" s="2">
        <v>49.3</v>
      </c>
      <c r="J52" s="2" t="s">
        <v>560</v>
      </c>
      <c r="L52" s="2" t="s">
        <v>1150</v>
      </c>
    </row>
    <row r="53" spans="1:12" ht="18" customHeight="1" x14ac:dyDescent="0.35">
      <c r="A53" s="2" t="s">
        <v>1149</v>
      </c>
      <c r="B53" s="70">
        <v>46256</v>
      </c>
      <c r="C53" s="2" t="s">
        <v>804</v>
      </c>
      <c r="D53" s="37" t="str">
        <f>IFERROR(INDEX(TB_COA!$B$5:$B$1000,MATCH(C53,TB_COA!$A$5:$A$1000,0)),"")</f>
        <v>VAT Recoverable / Input VAT</v>
      </c>
      <c r="E53" s="37">
        <f>TB_AP_Invoices!L8</f>
        <v>116970.73684210517</v>
      </c>
      <c r="F53" s="2">
        <v>0</v>
      </c>
      <c r="G53" s="2">
        <v>0</v>
      </c>
      <c r="J53" s="2" t="s">
        <v>560</v>
      </c>
      <c r="L53" s="2" t="s">
        <v>1151</v>
      </c>
    </row>
    <row r="54" spans="1:12" ht="18" customHeight="1" x14ac:dyDescent="0.35">
      <c r="A54" s="2" t="s">
        <v>1149</v>
      </c>
      <c r="B54" s="70">
        <v>46256</v>
      </c>
      <c r="C54" s="2" t="s">
        <v>1014</v>
      </c>
      <c r="D54" s="37" t="str">
        <f>IFERROR(INDEX(TB_COA!$B$5:$B$1000,MATCH(C54,TB_COA!$A$5:$A$1000,0)),"")</f>
        <v>AP - Foreign Hotels &amp; Suppliers</v>
      </c>
      <c r="E54" s="2">
        <v>0</v>
      </c>
      <c r="F54" s="37">
        <f>TB_AP_Invoices!M8</f>
        <v>952476</v>
      </c>
      <c r="G54" s="37">
        <f>TB_AP_Invoices!I8</f>
        <v>19320</v>
      </c>
      <c r="H54" s="2" t="s">
        <v>277</v>
      </c>
      <c r="I54" s="2">
        <v>49.3</v>
      </c>
      <c r="J54" s="2" t="s">
        <v>560</v>
      </c>
      <c r="L54" s="2" t="s">
        <v>1152</v>
      </c>
    </row>
    <row r="55" spans="1:12" ht="18" customHeight="1" x14ac:dyDescent="0.35">
      <c r="A55" s="2" t="s">
        <v>1153</v>
      </c>
      <c r="B55" s="70">
        <v>46258</v>
      </c>
      <c r="C55" s="2" t="s">
        <v>1051</v>
      </c>
      <c r="D55" s="37" t="str">
        <f>IFERROR(INDEX(TB_COA!$B$5:$B$1000,MATCH(C55,TB_COA!$A$5:$A$1000,0)),"")</f>
        <v>COGS - Package Tours</v>
      </c>
      <c r="E55" s="37">
        <f>TB_AP_Invoices!K9</f>
        <v>965838.59649122821</v>
      </c>
      <c r="F55" s="2">
        <v>0</v>
      </c>
      <c r="G55" s="37">
        <f>TB_AP_Invoices!I9</f>
        <v>17408</v>
      </c>
      <c r="H55" s="2" t="s">
        <v>409</v>
      </c>
      <c r="I55" s="2">
        <v>63.25</v>
      </c>
      <c r="J55" s="2" t="s">
        <v>561</v>
      </c>
      <c r="L55" s="2" t="s">
        <v>1154</v>
      </c>
    </row>
    <row r="56" spans="1:12" ht="18" customHeight="1" x14ac:dyDescent="0.35">
      <c r="A56" s="2" t="s">
        <v>1153</v>
      </c>
      <c r="B56" s="70">
        <v>46258</v>
      </c>
      <c r="C56" s="2" t="s">
        <v>804</v>
      </c>
      <c r="D56" s="37" t="str">
        <f>IFERROR(INDEX(TB_COA!$B$5:$B$1000,MATCH(C56,TB_COA!$A$5:$A$1000,0)),"")</f>
        <v>VAT Recoverable / Input VAT</v>
      </c>
      <c r="E56" s="37">
        <f>TB_AP_Invoices!L9</f>
        <v>135217.40350877179</v>
      </c>
      <c r="F56" s="2">
        <v>0</v>
      </c>
      <c r="G56" s="2">
        <v>0</v>
      </c>
      <c r="J56" s="2" t="s">
        <v>561</v>
      </c>
      <c r="L56" s="2" t="s">
        <v>1155</v>
      </c>
    </row>
    <row r="57" spans="1:12" ht="18" customHeight="1" x14ac:dyDescent="0.35">
      <c r="A57" s="2" t="s">
        <v>1153</v>
      </c>
      <c r="B57" s="70">
        <v>46258</v>
      </c>
      <c r="C57" s="2" t="s">
        <v>1014</v>
      </c>
      <c r="D57" s="37" t="str">
        <f>IFERROR(INDEX(TB_COA!$B$5:$B$1000,MATCH(C57,TB_COA!$A$5:$A$1000,0)),"")</f>
        <v>AP - Foreign Hotels &amp; Suppliers</v>
      </c>
      <c r="E57" s="2">
        <v>0</v>
      </c>
      <c r="F57" s="37">
        <f>TB_AP_Invoices!M9</f>
        <v>1101056</v>
      </c>
      <c r="G57" s="37">
        <f>TB_AP_Invoices!I9</f>
        <v>17408</v>
      </c>
      <c r="H57" s="2" t="s">
        <v>409</v>
      </c>
      <c r="I57" s="2">
        <v>63.25</v>
      </c>
      <c r="J57" s="2" t="s">
        <v>561</v>
      </c>
      <c r="L57" s="2" t="s">
        <v>1156</v>
      </c>
    </row>
    <row r="58" spans="1:12" ht="18" customHeight="1" x14ac:dyDescent="0.35">
      <c r="A58" s="2" t="s">
        <v>1157</v>
      </c>
      <c r="B58" s="70">
        <v>46256</v>
      </c>
      <c r="C58" s="2" t="s">
        <v>1051</v>
      </c>
      <c r="D58" s="37" t="str">
        <f>IFERROR(INDEX(TB_COA!$B$5:$B$1000,MATCH(C58,TB_COA!$A$5:$A$1000,0)),"")</f>
        <v>COGS - Package Tours</v>
      </c>
      <c r="E58" s="37">
        <f>TB_AP_Invoices!K10</f>
        <v>1453052.6315789474</v>
      </c>
      <c r="F58" s="2">
        <v>0</v>
      </c>
      <c r="G58" s="37">
        <f>TB_AP_Invoices!I10</f>
        <v>33600</v>
      </c>
      <c r="H58" s="2" t="s">
        <v>277</v>
      </c>
      <c r="I58" s="2">
        <v>49.3</v>
      </c>
      <c r="J58" s="2" t="s">
        <v>562</v>
      </c>
      <c r="L58" s="2" t="s">
        <v>1158</v>
      </c>
    </row>
    <row r="59" spans="1:12" ht="18" customHeight="1" x14ac:dyDescent="0.35">
      <c r="A59" s="2" t="s">
        <v>1157</v>
      </c>
      <c r="B59" s="70">
        <v>46256</v>
      </c>
      <c r="C59" s="2" t="s">
        <v>804</v>
      </c>
      <c r="D59" s="37" t="str">
        <f>IFERROR(INDEX(TB_COA!$B$5:$B$1000,MATCH(C59,TB_COA!$A$5:$A$1000,0)),"")</f>
        <v>VAT Recoverable / Input VAT</v>
      </c>
      <c r="E59" s="37">
        <f>TB_AP_Invoices!L10</f>
        <v>203427.36842105258</v>
      </c>
      <c r="F59" s="2">
        <v>0</v>
      </c>
      <c r="G59" s="2">
        <v>0</v>
      </c>
      <c r="J59" s="2" t="s">
        <v>562</v>
      </c>
      <c r="L59" s="2" t="s">
        <v>1159</v>
      </c>
    </row>
    <row r="60" spans="1:12" ht="18" customHeight="1" x14ac:dyDescent="0.35">
      <c r="A60" s="2" t="s">
        <v>1157</v>
      </c>
      <c r="B60" s="70">
        <v>46256</v>
      </c>
      <c r="C60" s="2" t="s">
        <v>1014</v>
      </c>
      <c r="D60" s="37" t="str">
        <f>IFERROR(INDEX(TB_COA!$B$5:$B$1000,MATCH(C60,TB_COA!$A$5:$A$1000,0)),"")</f>
        <v>AP - Foreign Hotels &amp; Suppliers</v>
      </c>
      <c r="E60" s="2">
        <v>0</v>
      </c>
      <c r="F60" s="37">
        <f>TB_AP_Invoices!M10</f>
        <v>1656480</v>
      </c>
      <c r="G60" s="37">
        <f>TB_AP_Invoices!I10</f>
        <v>33600</v>
      </c>
      <c r="H60" s="2" t="s">
        <v>277</v>
      </c>
      <c r="I60" s="2">
        <v>49.3</v>
      </c>
      <c r="J60" s="2" t="s">
        <v>562</v>
      </c>
      <c r="L60" s="2" t="s">
        <v>1160</v>
      </c>
    </row>
    <row r="61" spans="1:12" ht="18" customHeight="1" x14ac:dyDescent="0.35">
      <c r="A61" s="2" t="s">
        <v>1161</v>
      </c>
      <c r="B61" s="70">
        <v>46259</v>
      </c>
      <c r="C61" s="2" t="s">
        <v>1051</v>
      </c>
      <c r="D61" s="37" t="str">
        <f>IFERROR(INDEX(TB_COA!$B$5:$B$1000,MATCH(C61,TB_COA!$A$5:$A$1000,0)),"")</f>
        <v>COGS - Package Tours</v>
      </c>
      <c r="E61" s="37">
        <f>TB_AP_Invoices!K11</f>
        <v>1476435.0877192984</v>
      </c>
      <c r="F61" s="2">
        <v>0</v>
      </c>
      <c r="G61" s="37">
        <f>TB_AP_Invoices!I11</f>
        <v>30940</v>
      </c>
      <c r="H61" s="2" t="s">
        <v>313</v>
      </c>
      <c r="I61" s="2">
        <v>54.4</v>
      </c>
      <c r="J61" s="2" t="s">
        <v>563</v>
      </c>
      <c r="L61" s="2" t="s">
        <v>1162</v>
      </c>
    </row>
    <row r="62" spans="1:12" ht="18" customHeight="1" x14ac:dyDescent="0.35">
      <c r="A62" s="2" t="s">
        <v>1161</v>
      </c>
      <c r="B62" s="70">
        <v>46259</v>
      </c>
      <c r="C62" s="2" t="s">
        <v>804</v>
      </c>
      <c r="D62" s="37" t="str">
        <f>IFERROR(INDEX(TB_COA!$B$5:$B$1000,MATCH(C62,TB_COA!$A$5:$A$1000,0)),"")</f>
        <v>VAT Recoverable / Input VAT</v>
      </c>
      <c r="E62" s="37">
        <f>TB_AP_Invoices!L11</f>
        <v>206700.91228070157</v>
      </c>
      <c r="F62" s="2">
        <v>0</v>
      </c>
      <c r="G62" s="2">
        <v>0</v>
      </c>
      <c r="J62" s="2" t="s">
        <v>563</v>
      </c>
      <c r="L62" s="2" t="s">
        <v>1163</v>
      </c>
    </row>
    <row r="63" spans="1:12" ht="18" customHeight="1" x14ac:dyDescent="0.35">
      <c r="A63" s="2" t="s">
        <v>1161</v>
      </c>
      <c r="B63" s="70">
        <v>46259</v>
      </c>
      <c r="C63" s="2" t="s">
        <v>1014</v>
      </c>
      <c r="D63" s="37" t="str">
        <f>IFERROR(INDEX(TB_COA!$B$5:$B$1000,MATCH(C63,TB_COA!$A$5:$A$1000,0)),"")</f>
        <v>AP - Foreign Hotels &amp; Suppliers</v>
      </c>
      <c r="E63" s="2">
        <v>0</v>
      </c>
      <c r="F63" s="37">
        <f>TB_AP_Invoices!M11</f>
        <v>1683136</v>
      </c>
      <c r="G63" s="37">
        <f>TB_AP_Invoices!I11</f>
        <v>30940</v>
      </c>
      <c r="H63" s="2" t="s">
        <v>313</v>
      </c>
      <c r="I63" s="2">
        <v>54.4</v>
      </c>
      <c r="J63" s="2" t="s">
        <v>563</v>
      </c>
      <c r="L63" s="2" t="s">
        <v>1164</v>
      </c>
    </row>
    <row r="64" spans="1:12" ht="18" customHeight="1" x14ac:dyDescent="0.35">
      <c r="A64" s="2" t="s">
        <v>1165</v>
      </c>
      <c r="B64" s="70">
        <v>46244</v>
      </c>
      <c r="C64" s="2" t="s">
        <v>987</v>
      </c>
      <c r="D64" s="37" t="str">
        <f>IFERROR(INDEX(TB_COA!$B$5:$B$1000,MATCH(C64,TB_COA!$A$5:$A$1000,0)),"")</f>
        <v>Bank Account - EUR</v>
      </c>
      <c r="E64" s="2">
        <v>6741000</v>
      </c>
      <c r="F64" s="2">
        <v>0</v>
      </c>
      <c r="G64" s="2">
        <v>126000</v>
      </c>
      <c r="H64" s="2" t="s">
        <v>313</v>
      </c>
      <c r="I64" s="2">
        <v>53.5</v>
      </c>
      <c r="J64" s="2" t="s">
        <v>1166</v>
      </c>
      <c r="L64" s="2" t="s">
        <v>1167</v>
      </c>
    </row>
    <row r="65" spans="1:12" ht="18" customHeight="1" x14ac:dyDescent="0.35">
      <c r="A65" s="2" t="s">
        <v>1165</v>
      </c>
      <c r="B65" s="70">
        <v>46244</v>
      </c>
      <c r="C65" s="2" t="s">
        <v>994</v>
      </c>
      <c r="D65" s="37" t="str">
        <f>IFERROR(INDEX(TB_COA!$B$5:$B$1000,MATCH(C65,TB_COA!$A$5:$A$1000,0)),"")</f>
        <v>AR - Foreign Tour Operators (Control)</v>
      </c>
      <c r="E65" s="2">
        <v>0</v>
      </c>
      <c r="F65" s="2">
        <v>6722100</v>
      </c>
      <c r="G65" s="2">
        <v>126000</v>
      </c>
      <c r="H65" s="2" t="s">
        <v>313</v>
      </c>
      <c r="I65" s="2">
        <v>53.35</v>
      </c>
      <c r="J65" s="2" t="s">
        <v>1166</v>
      </c>
      <c r="L65" s="2" t="s">
        <v>1168</v>
      </c>
    </row>
    <row r="66" spans="1:12" ht="18" customHeight="1" x14ac:dyDescent="0.35">
      <c r="A66" s="2" t="s">
        <v>1165</v>
      </c>
      <c r="B66" s="70">
        <v>46244</v>
      </c>
      <c r="C66" s="2" t="s">
        <v>1077</v>
      </c>
      <c r="D66" s="37" t="str">
        <f>IFERROR(INDEX(TB_COA!$B$5:$B$1000,MATCH(C66,TB_COA!$A$5:$A$1000,0)),"")</f>
        <v>Realized FX Gain</v>
      </c>
      <c r="E66" s="2">
        <v>0</v>
      </c>
      <c r="F66" s="2">
        <v>18900</v>
      </c>
      <c r="G66" s="2">
        <v>0</v>
      </c>
      <c r="J66" s="2" t="s">
        <v>1166</v>
      </c>
      <c r="K66" s="2" t="s">
        <v>1169</v>
      </c>
      <c r="L66" s="2" t="s">
        <v>1170</v>
      </c>
    </row>
    <row r="67" spans="1:12" ht="18" customHeight="1" x14ac:dyDescent="0.35">
      <c r="A67" s="2" t="s">
        <v>1171</v>
      </c>
      <c r="B67" s="70">
        <v>46246</v>
      </c>
      <c r="C67" s="2" t="s">
        <v>985</v>
      </c>
      <c r="D67" s="37" t="str">
        <f>IFERROR(INDEX(TB_COA!$B$5:$B$1000,MATCH(C67,TB_COA!$A$5:$A$1000,0)),"")</f>
        <v>Bank Account - USD</v>
      </c>
      <c r="E67" s="2">
        <v>1272127.5</v>
      </c>
      <c r="F67" s="2">
        <v>0</v>
      </c>
      <c r="G67" s="2">
        <v>25830</v>
      </c>
      <c r="H67" s="2" t="s">
        <v>277</v>
      </c>
      <c r="I67" s="2">
        <v>49.25</v>
      </c>
      <c r="J67" s="2" t="s">
        <v>1172</v>
      </c>
      <c r="L67" s="2" t="s">
        <v>1173</v>
      </c>
    </row>
    <row r="68" spans="1:12" ht="18" customHeight="1" x14ac:dyDescent="0.35">
      <c r="A68" s="2" t="s">
        <v>1171</v>
      </c>
      <c r="B68" s="70">
        <v>46246</v>
      </c>
      <c r="C68" s="2" t="s">
        <v>994</v>
      </c>
      <c r="D68" s="37" t="str">
        <f>IFERROR(INDEX(TB_COA!$B$5:$B$1000,MATCH(C68,TB_COA!$A$5:$A$1000,0)),"")</f>
        <v>AR - Foreign Tour Operators (Control)</v>
      </c>
      <c r="E68" s="2">
        <v>0</v>
      </c>
      <c r="F68" s="2">
        <v>1268769.6000000001</v>
      </c>
      <c r="G68" s="2">
        <v>25830</v>
      </c>
      <c r="H68" s="2" t="s">
        <v>277</v>
      </c>
      <c r="I68" s="2">
        <v>49.12</v>
      </c>
      <c r="J68" s="2" t="s">
        <v>1172</v>
      </c>
      <c r="L68" s="2" t="s">
        <v>1174</v>
      </c>
    </row>
    <row r="69" spans="1:12" ht="18" customHeight="1" x14ac:dyDescent="0.35">
      <c r="A69" s="2" t="s">
        <v>1171</v>
      </c>
      <c r="B69" s="70">
        <v>46246</v>
      </c>
      <c r="C69" s="2" t="s">
        <v>1077</v>
      </c>
      <c r="D69" s="37" t="str">
        <f>IFERROR(INDEX(TB_COA!$B$5:$B$1000,MATCH(C69,TB_COA!$A$5:$A$1000,0)),"")</f>
        <v>Realized FX Gain</v>
      </c>
      <c r="E69" s="2">
        <v>0</v>
      </c>
      <c r="F69" s="2">
        <v>3357.9</v>
      </c>
      <c r="G69" s="2">
        <v>0</v>
      </c>
      <c r="J69" s="2" t="s">
        <v>1172</v>
      </c>
      <c r="K69" s="2" t="s">
        <v>1169</v>
      </c>
      <c r="L69" s="2" t="s">
        <v>1175</v>
      </c>
    </row>
    <row r="70" spans="1:12" ht="18" customHeight="1" x14ac:dyDescent="0.35">
      <c r="A70" s="2" t="s">
        <v>1176</v>
      </c>
      <c r="B70" s="70">
        <v>46246</v>
      </c>
      <c r="C70" s="2" t="s">
        <v>987</v>
      </c>
      <c r="D70" s="37" t="str">
        <f>IFERROR(INDEX(TB_COA!$B$5:$B$1000,MATCH(C70,TB_COA!$A$5:$A$1000,0)),"")</f>
        <v>Bank Account - EUR</v>
      </c>
      <c r="E70" s="2">
        <v>1022931</v>
      </c>
      <c r="F70" s="2">
        <v>0</v>
      </c>
      <c r="G70" s="2">
        <v>16380</v>
      </c>
      <c r="H70" s="2" t="s">
        <v>409</v>
      </c>
      <c r="I70" s="2">
        <v>62.45</v>
      </c>
      <c r="J70" s="2" t="s">
        <v>1177</v>
      </c>
      <c r="L70" s="2" t="s">
        <v>1178</v>
      </c>
    </row>
    <row r="71" spans="1:12" ht="18" customHeight="1" x14ac:dyDescent="0.35">
      <c r="A71" s="2" t="s">
        <v>1176</v>
      </c>
      <c r="B71" s="70">
        <v>46246</v>
      </c>
      <c r="C71" s="2" t="s">
        <v>994</v>
      </c>
      <c r="D71" s="37" t="str">
        <f>IFERROR(INDEX(TB_COA!$B$5:$B$1000,MATCH(C71,TB_COA!$A$5:$A$1000,0)),"")</f>
        <v>AR - Foreign Tour Operators (Control)</v>
      </c>
      <c r="E71" s="2">
        <v>0</v>
      </c>
      <c r="F71" s="2">
        <v>1020474</v>
      </c>
      <c r="G71" s="2">
        <v>16380</v>
      </c>
      <c r="H71" s="2" t="s">
        <v>409</v>
      </c>
      <c r="I71" s="2">
        <v>62.3</v>
      </c>
      <c r="J71" s="2" t="s">
        <v>1177</v>
      </c>
      <c r="L71" s="2" t="s">
        <v>1179</v>
      </c>
    </row>
    <row r="72" spans="1:12" ht="18" customHeight="1" x14ac:dyDescent="0.35">
      <c r="A72" s="2" t="s">
        <v>1176</v>
      </c>
      <c r="B72" s="70">
        <v>46246</v>
      </c>
      <c r="C72" s="2" t="s">
        <v>1077</v>
      </c>
      <c r="D72" s="37" t="str">
        <f>IFERROR(INDEX(TB_COA!$B$5:$B$1000,MATCH(C72,TB_COA!$A$5:$A$1000,0)),"")</f>
        <v>Realized FX Gain</v>
      </c>
      <c r="E72" s="2">
        <v>0</v>
      </c>
      <c r="F72" s="2">
        <v>2457</v>
      </c>
      <c r="G72" s="2">
        <v>0</v>
      </c>
      <c r="J72" s="2" t="s">
        <v>1177</v>
      </c>
      <c r="K72" s="2" t="s">
        <v>1169</v>
      </c>
      <c r="L72" s="2" t="s">
        <v>1180</v>
      </c>
    </row>
    <row r="73" spans="1:12" ht="18" customHeight="1" x14ac:dyDescent="0.35">
      <c r="A73" s="2" t="s">
        <v>1181</v>
      </c>
      <c r="B73" s="70">
        <v>46244</v>
      </c>
      <c r="C73" s="2" t="s">
        <v>987</v>
      </c>
      <c r="D73" s="37" t="str">
        <f>IFERROR(INDEX(TB_COA!$B$5:$B$1000,MATCH(C73,TB_COA!$A$5:$A$1000,0)),"")</f>
        <v>Bank Account - EUR</v>
      </c>
      <c r="E73" s="2">
        <v>1156680</v>
      </c>
      <c r="F73" s="2">
        <v>0</v>
      </c>
      <c r="G73" s="2">
        <v>21600</v>
      </c>
      <c r="H73" s="2" t="s">
        <v>313</v>
      </c>
      <c r="I73" s="2">
        <v>53.55</v>
      </c>
      <c r="J73" s="2" t="s">
        <v>1182</v>
      </c>
      <c r="L73" s="2" t="s">
        <v>1183</v>
      </c>
    </row>
    <row r="74" spans="1:12" ht="18" customHeight="1" x14ac:dyDescent="0.35">
      <c r="A74" s="2" t="s">
        <v>1181</v>
      </c>
      <c r="B74" s="70">
        <v>46244</v>
      </c>
      <c r="C74" s="2" t="s">
        <v>994</v>
      </c>
      <c r="D74" s="37" t="str">
        <f>IFERROR(INDEX(TB_COA!$B$5:$B$1000,MATCH(C74,TB_COA!$A$5:$A$1000,0)),"")</f>
        <v>AR - Foreign Tour Operators (Control)</v>
      </c>
      <c r="E74" s="2">
        <v>0</v>
      </c>
      <c r="F74" s="2">
        <v>1153440</v>
      </c>
      <c r="G74" s="2">
        <v>21600</v>
      </c>
      <c r="H74" s="2" t="s">
        <v>313</v>
      </c>
      <c r="I74" s="2">
        <v>53.4</v>
      </c>
      <c r="J74" s="2" t="s">
        <v>1182</v>
      </c>
      <c r="L74" s="2" t="s">
        <v>1184</v>
      </c>
    </row>
    <row r="75" spans="1:12" ht="18" customHeight="1" x14ac:dyDescent="0.35">
      <c r="A75" s="2" t="s">
        <v>1181</v>
      </c>
      <c r="B75" s="70">
        <v>46244</v>
      </c>
      <c r="C75" s="2" t="s">
        <v>1077</v>
      </c>
      <c r="D75" s="37" t="str">
        <f>IFERROR(INDEX(TB_COA!$B$5:$B$1000,MATCH(C75,TB_COA!$A$5:$A$1000,0)),"")</f>
        <v>Realized FX Gain</v>
      </c>
      <c r="E75" s="2">
        <v>0</v>
      </c>
      <c r="F75" s="2">
        <v>3240</v>
      </c>
      <c r="G75" s="2">
        <v>0</v>
      </c>
      <c r="J75" s="2" t="s">
        <v>1182</v>
      </c>
      <c r="K75" s="2" t="s">
        <v>1169</v>
      </c>
      <c r="L75" s="2" t="s">
        <v>1185</v>
      </c>
    </row>
    <row r="76" spans="1:12" ht="18" customHeight="1" x14ac:dyDescent="0.35">
      <c r="A76" s="2" t="s">
        <v>1186</v>
      </c>
      <c r="B76" s="70">
        <v>46246</v>
      </c>
      <c r="C76" s="2" t="s">
        <v>985</v>
      </c>
      <c r="D76" s="37" t="str">
        <f>IFERROR(INDEX(TB_COA!$B$5:$B$1000,MATCH(C76,TB_COA!$A$5:$A$1000,0)),"")</f>
        <v>Bank Account - USD</v>
      </c>
      <c r="E76" s="2">
        <v>156456</v>
      </c>
      <c r="F76" s="2">
        <v>0</v>
      </c>
      <c r="G76" s="2">
        <v>3180</v>
      </c>
      <c r="H76" s="2" t="s">
        <v>277</v>
      </c>
      <c r="I76" s="2">
        <v>49.2</v>
      </c>
      <c r="J76" s="2" t="s">
        <v>1187</v>
      </c>
      <c r="L76" s="2" t="s">
        <v>1188</v>
      </c>
    </row>
    <row r="77" spans="1:12" ht="18" customHeight="1" x14ac:dyDescent="0.35">
      <c r="A77" s="2" t="s">
        <v>1186</v>
      </c>
      <c r="B77" s="70">
        <v>46246</v>
      </c>
      <c r="C77" s="2" t="s">
        <v>994</v>
      </c>
      <c r="D77" s="37" t="str">
        <f>IFERROR(INDEX(TB_COA!$B$5:$B$1000,MATCH(C77,TB_COA!$A$5:$A$1000,0)),"")</f>
        <v>AR - Foreign Tour Operators (Control)</v>
      </c>
      <c r="E77" s="2">
        <v>0</v>
      </c>
      <c r="F77" s="2">
        <v>156201.60000000001</v>
      </c>
      <c r="G77" s="2">
        <v>3180</v>
      </c>
      <c r="H77" s="2" t="s">
        <v>277</v>
      </c>
      <c r="I77" s="2">
        <v>49.12</v>
      </c>
      <c r="J77" s="2" t="s">
        <v>1187</v>
      </c>
      <c r="L77" s="2" t="s">
        <v>1189</v>
      </c>
    </row>
    <row r="78" spans="1:12" ht="18" customHeight="1" x14ac:dyDescent="0.35">
      <c r="A78" s="2" t="s">
        <v>1186</v>
      </c>
      <c r="B78" s="70">
        <v>46246</v>
      </c>
      <c r="C78" s="2" t="s">
        <v>1077</v>
      </c>
      <c r="D78" s="37" t="str">
        <f>IFERROR(INDEX(TB_COA!$B$5:$B$1000,MATCH(C78,TB_COA!$A$5:$A$1000,0)),"")</f>
        <v>Realized FX Gain</v>
      </c>
      <c r="E78" s="2">
        <v>0</v>
      </c>
      <c r="F78" s="2">
        <v>254.4</v>
      </c>
      <c r="G78" s="2">
        <v>0</v>
      </c>
      <c r="J78" s="2" t="s">
        <v>1187</v>
      </c>
      <c r="K78" s="2" t="s">
        <v>1169</v>
      </c>
      <c r="L78" s="2" t="s">
        <v>1190</v>
      </c>
    </row>
    <row r="79" spans="1:12" ht="18" customHeight="1" x14ac:dyDescent="0.35">
      <c r="A79" s="2" t="s">
        <v>1191</v>
      </c>
      <c r="B79" s="70">
        <v>46259</v>
      </c>
      <c r="C79" s="2" t="s">
        <v>987</v>
      </c>
      <c r="D79" s="37" t="str">
        <f>IFERROR(INDEX(TB_COA!$B$5:$B$1000,MATCH(C79,TB_COA!$A$5:$A$1000,0)),"")</f>
        <v>Bank Account - EUR</v>
      </c>
      <c r="E79" s="2">
        <v>7235200</v>
      </c>
      <c r="F79" s="2">
        <v>0</v>
      </c>
      <c r="G79" s="2">
        <v>133000</v>
      </c>
      <c r="H79" s="2" t="s">
        <v>313</v>
      </c>
      <c r="I79" s="2">
        <v>54.4</v>
      </c>
      <c r="J79" s="2" t="s">
        <v>1192</v>
      </c>
      <c r="L79" s="2" t="s">
        <v>1193</v>
      </c>
    </row>
    <row r="80" spans="1:12" ht="18" customHeight="1" x14ac:dyDescent="0.35">
      <c r="A80" s="2" t="s">
        <v>1191</v>
      </c>
      <c r="B80" s="70">
        <v>46259</v>
      </c>
      <c r="C80" s="2" t="s">
        <v>994</v>
      </c>
      <c r="D80" s="37" t="str">
        <f>IFERROR(INDEX(TB_COA!$B$5:$B$1000,MATCH(C80,TB_COA!$A$5:$A$1000,0)),"")</f>
        <v>AR - Foreign Tour Operators (Control)</v>
      </c>
      <c r="E80" s="2">
        <v>0</v>
      </c>
      <c r="F80" s="2">
        <v>7208600</v>
      </c>
      <c r="G80" s="2">
        <v>133000</v>
      </c>
      <c r="H80" s="2" t="s">
        <v>313</v>
      </c>
      <c r="I80" s="2">
        <v>54.2</v>
      </c>
      <c r="J80" s="2" t="s">
        <v>1192</v>
      </c>
      <c r="L80" s="2" t="s">
        <v>1194</v>
      </c>
    </row>
    <row r="81" spans="1:12" ht="18" customHeight="1" x14ac:dyDescent="0.35">
      <c r="A81" s="2" t="s">
        <v>1191</v>
      </c>
      <c r="B81" s="70">
        <v>46259</v>
      </c>
      <c r="C81" s="2" t="s">
        <v>1077</v>
      </c>
      <c r="D81" s="37" t="str">
        <f>IFERROR(INDEX(TB_COA!$B$5:$B$1000,MATCH(C81,TB_COA!$A$5:$A$1000,0)),"")</f>
        <v>Realized FX Gain</v>
      </c>
      <c r="E81" s="2">
        <v>0</v>
      </c>
      <c r="F81" s="2">
        <v>26600</v>
      </c>
      <c r="G81" s="2">
        <v>0</v>
      </c>
      <c r="J81" s="2" t="s">
        <v>1192</v>
      </c>
      <c r="K81" s="2" t="s">
        <v>1169</v>
      </c>
      <c r="L81" s="2" t="s">
        <v>1195</v>
      </c>
    </row>
    <row r="82" spans="1:12" ht="18" customHeight="1" x14ac:dyDescent="0.35">
      <c r="A82" s="2" t="s">
        <v>1196</v>
      </c>
      <c r="B82" s="70">
        <v>46249</v>
      </c>
      <c r="C82" s="2" t="s">
        <v>1014</v>
      </c>
      <c r="D82" s="37" t="str">
        <f>IFERROR(INDEX(TB_COA!$B$5:$B$1000,MATCH(C82,TB_COA!$A$5:$A$1000,0)),"")</f>
        <v>AP - Foreign Hotels &amp; Suppliers</v>
      </c>
      <c r="E82" s="37">
        <f>F36</f>
        <v>5377680</v>
      </c>
      <c r="F82" s="2">
        <v>0</v>
      </c>
      <c r="G82" s="2">
        <v>0</v>
      </c>
      <c r="J82" s="2" t="s">
        <v>1197</v>
      </c>
      <c r="L82" s="2" t="s">
        <v>1198</v>
      </c>
    </row>
    <row r="83" spans="1:12" ht="18" customHeight="1" x14ac:dyDescent="0.35">
      <c r="A83" s="2" t="s">
        <v>1196</v>
      </c>
      <c r="B83" s="70">
        <v>46249</v>
      </c>
      <c r="C83" s="2" t="s">
        <v>811</v>
      </c>
      <c r="D83" s="37" t="str">
        <f>IFERROR(INDEX(TB_COA!$B$5:$B$1000,MATCH(C83,TB_COA!$A$5:$A$1000,0)),"")</f>
        <v>Bank Charges &amp; Realized FX Loss</v>
      </c>
      <c r="E83" s="2">
        <v>10080</v>
      </c>
      <c r="F83" s="2">
        <v>0</v>
      </c>
      <c r="G83" s="2">
        <v>0</v>
      </c>
      <c r="J83" s="2" t="s">
        <v>1197</v>
      </c>
      <c r="K83" s="2" t="s">
        <v>1199</v>
      </c>
      <c r="L83" s="2" t="s">
        <v>1200</v>
      </c>
    </row>
    <row r="84" spans="1:12" ht="18" customHeight="1" x14ac:dyDescent="0.35">
      <c r="A84" s="2" t="s">
        <v>1196</v>
      </c>
      <c r="B84" s="70">
        <v>46249</v>
      </c>
      <c r="C84" s="2" t="s">
        <v>987</v>
      </c>
      <c r="D84" s="37" t="str">
        <f>IFERROR(INDEX(TB_COA!$B$5:$B$1000,MATCH(C84,TB_COA!$A$5:$A$1000,0)),"")</f>
        <v>Bank Account - EUR</v>
      </c>
      <c r="E84" s="2">
        <v>0</v>
      </c>
      <c r="F84" s="37">
        <f>E82+E83-F85</f>
        <v>5246242.1052631577</v>
      </c>
      <c r="G84" s="2">
        <v>100800</v>
      </c>
      <c r="H84" s="2" t="s">
        <v>313</v>
      </c>
      <c r="I84" s="2">
        <v>53.45</v>
      </c>
      <c r="J84" s="2" t="s">
        <v>1197</v>
      </c>
      <c r="L84" s="2" t="s">
        <v>1201</v>
      </c>
    </row>
    <row r="85" spans="1:12" ht="18" customHeight="1" x14ac:dyDescent="0.35">
      <c r="A85" s="2" t="s">
        <v>1196</v>
      </c>
      <c r="B85" s="70">
        <v>46249</v>
      </c>
      <c r="C85" s="2" t="s">
        <v>741</v>
      </c>
      <c r="D85" s="37" t="str">
        <f>IFERROR(INDEX(TB_COA!$B$5:$B$1000,MATCH(C85,TB_COA!$A$5:$A$1000,0)),"")</f>
        <v>Withholding Tax Payable</v>
      </c>
      <c r="E85" s="2">
        <v>0</v>
      </c>
      <c r="F85" s="37">
        <f>TB_WHT_Quarterly!F4</f>
        <v>141517.89473684211</v>
      </c>
      <c r="G85" s="2">
        <v>0</v>
      </c>
      <c r="J85" s="2" t="s">
        <v>1197</v>
      </c>
      <c r="L85" s="2" t="s">
        <v>1202</v>
      </c>
    </row>
    <row r="86" spans="1:12" ht="18" customHeight="1" x14ac:dyDescent="0.35">
      <c r="A86" s="2" t="s">
        <v>1203</v>
      </c>
      <c r="B86" s="70">
        <v>46250</v>
      </c>
      <c r="C86" s="2" t="s">
        <v>1014</v>
      </c>
      <c r="D86" s="37" t="str">
        <f>IFERROR(INDEX(TB_COA!$B$5:$B$1000,MATCH(C86,TB_COA!$A$5:$A$1000,0)),"")</f>
        <v>AP - Foreign Hotels &amp; Suppliers</v>
      </c>
      <c r="E86" s="37">
        <f>F39</f>
        <v>1005732</v>
      </c>
      <c r="F86" s="2">
        <v>0</v>
      </c>
      <c r="G86" s="2">
        <v>0</v>
      </c>
      <c r="J86" s="2" t="s">
        <v>1204</v>
      </c>
      <c r="L86" s="2" t="s">
        <v>1205</v>
      </c>
    </row>
    <row r="87" spans="1:12" ht="18" customHeight="1" x14ac:dyDescent="0.35">
      <c r="A87" s="2" t="s">
        <v>1203</v>
      </c>
      <c r="B87" s="70">
        <v>46250</v>
      </c>
      <c r="C87" s="2" t="s">
        <v>811</v>
      </c>
      <c r="D87" s="37" t="str">
        <f>IFERROR(INDEX(TB_COA!$B$5:$B$1000,MATCH(C87,TB_COA!$A$5:$A$1000,0)),"")</f>
        <v>Bank Charges &amp; Realized FX Loss</v>
      </c>
      <c r="E87" s="2">
        <v>614.25</v>
      </c>
      <c r="F87" s="2">
        <v>0</v>
      </c>
      <c r="G87" s="2">
        <v>0</v>
      </c>
      <c r="J87" s="2" t="s">
        <v>1204</v>
      </c>
      <c r="K87" s="2" t="s">
        <v>1199</v>
      </c>
      <c r="L87" s="2" t="s">
        <v>1206</v>
      </c>
    </row>
    <row r="88" spans="1:12" ht="18" customHeight="1" x14ac:dyDescent="0.35">
      <c r="A88" s="2" t="s">
        <v>1203</v>
      </c>
      <c r="B88" s="70">
        <v>46250</v>
      </c>
      <c r="C88" s="2" t="s">
        <v>985</v>
      </c>
      <c r="D88" s="37" t="str">
        <f>IFERROR(INDEX(TB_COA!$B$5:$B$1000,MATCH(C88,TB_COA!$A$5:$A$1000,0)),"")</f>
        <v>Bank Account - USD</v>
      </c>
      <c r="E88" s="2">
        <v>0</v>
      </c>
      <c r="F88" s="37">
        <f>E86+E87-F89</f>
        <v>979879.61842105258</v>
      </c>
      <c r="G88" s="2">
        <v>20475</v>
      </c>
      <c r="H88" s="2" t="s">
        <v>277</v>
      </c>
      <c r="I88" s="2">
        <v>49.15</v>
      </c>
      <c r="J88" s="2" t="s">
        <v>1204</v>
      </c>
      <c r="L88" s="2" t="s">
        <v>1207</v>
      </c>
    </row>
    <row r="89" spans="1:12" ht="18" customHeight="1" x14ac:dyDescent="0.35">
      <c r="A89" s="2" t="s">
        <v>1203</v>
      </c>
      <c r="B89" s="70">
        <v>46250</v>
      </c>
      <c r="C89" s="2" t="s">
        <v>741</v>
      </c>
      <c r="D89" s="37" t="str">
        <f>IFERROR(INDEX(TB_COA!$B$5:$B$1000,MATCH(C89,TB_COA!$A$5:$A$1000,0)),"")</f>
        <v>Withholding Tax Payable</v>
      </c>
      <c r="E89" s="2">
        <v>0</v>
      </c>
      <c r="F89" s="37">
        <f>TB_WHT_Quarterly!F5</f>
        <v>26466.63157894737</v>
      </c>
      <c r="G89" s="2">
        <v>0</v>
      </c>
      <c r="J89" s="2" t="s">
        <v>1204</v>
      </c>
      <c r="L89" s="2" t="s">
        <v>1208</v>
      </c>
    </row>
    <row r="90" spans="1:12" ht="18" customHeight="1" x14ac:dyDescent="0.35">
      <c r="A90" s="2" t="s">
        <v>1209</v>
      </c>
      <c r="B90" s="70">
        <v>46251</v>
      </c>
      <c r="C90" s="2" t="s">
        <v>1014</v>
      </c>
      <c r="D90" s="37" t="str">
        <f>IFERROR(INDEX(TB_COA!$B$5:$B$1000,MATCH(C90,TB_COA!$A$5:$A$1000,0)),"")</f>
        <v>AP - Foreign Hotels &amp; Suppliers</v>
      </c>
      <c r="E90" s="37">
        <f>F42</f>
        <v>811146</v>
      </c>
      <c r="F90" s="2">
        <v>0</v>
      </c>
      <c r="G90" s="2">
        <v>0</v>
      </c>
      <c r="J90" s="2" t="s">
        <v>1210</v>
      </c>
      <c r="L90" s="2" t="s">
        <v>1211</v>
      </c>
    </row>
    <row r="91" spans="1:12" ht="18" customHeight="1" x14ac:dyDescent="0.35">
      <c r="A91" s="2" t="s">
        <v>1209</v>
      </c>
      <c r="B91" s="70">
        <v>46251</v>
      </c>
      <c r="C91" s="2" t="s">
        <v>811</v>
      </c>
      <c r="D91" s="37" t="str">
        <f>IFERROR(INDEX(TB_COA!$B$5:$B$1000,MATCH(C91,TB_COA!$A$5:$A$1000,0)),"")</f>
        <v>Bank Charges &amp; Realized FX Loss</v>
      </c>
      <c r="E91" s="2">
        <v>651</v>
      </c>
      <c r="F91" s="2">
        <v>0</v>
      </c>
      <c r="G91" s="2">
        <v>0</v>
      </c>
      <c r="J91" s="2" t="s">
        <v>1210</v>
      </c>
      <c r="K91" s="2" t="s">
        <v>1199</v>
      </c>
      <c r="L91" s="2" t="s">
        <v>1212</v>
      </c>
    </row>
    <row r="92" spans="1:12" ht="18" customHeight="1" x14ac:dyDescent="0.35">
      <c r="A92" s="2" t="s">
        <v>1209</v>
      </c>
      <c r="B92" s="70">
        <v>46251</v>
      </c>
      <c r="C92" s="2" t="s">
        <v>987</v>
      </c>
      <c r="D92" s="37" t="str">
        <f>IFERROR(INDEX(TB_COA!$B$5:$B$1000,MATCH(C92,TB_COA!$A$5:$A$1000,0)),"")</f>
        <v>Bank Account - EUR</v>
      </c>
      <c r="E92" s="2">
        <v>0</v>
      </c>
      <c r="F92" s="37">
        <f>E90+E91-F93</f>
        <v>790451.05263157899</v>
      </c>
      <c r="G92" s="2">
        <v>13020</v>
      </c>
      <c r="H92" s="2" t="s">
        <v>409</v>
      </c>
      <c r="I92" s="2">
        <v>62.35</v>
      </c>
      <c r="J92" s="2" t="s">
        <v>1210</v>
      </c>
      <c r="L92" s="2" t="s">
        <v>1213</v>
      </c>
    </row>
    <row r="93" spans="1:12" ht="18" customHeight="1" x14ac:dyDescent="0.35">
      <c r="A93" s="2" t="s">
        <v>1209</v>
      </c>
      <c r="B93" s="70">
        <v>46251</v>
      </c>
      <c r="C93" s="2" t="s">
        <v>741</v>
      </c>
      <c r="D93" s="37" t="str">
        <f>IFERROR(INDEX(TB_COA!$B$5:$B$1000,MATCH(C93,TB_COA!$A$5:$A$1000,0)),"")</f>
        <v>Withholding Tax Payable</v>
      </c>
      <c r="E93" s="2">
        <v>0</v>
      </c>
      <c r="F93" s="37">
        <f>TB_WHT_Quarterly!F6</f>
        <v>21345.947368421053</v>
      </c>
      <c r="G93" s="2">
        <v>0</v>
      </c>
      <c r="J93" s="2" t="s">
        <v>1210</v>
      </c>
      <c r="L93" s="2" t="s">
        <v>1214</v>
      </c>
    </row>
    <row r="94" spans="1:12" ht="18" customHeight="1" x14ac:dyDescent="0.35">
      <c r="A94" s="2" t="s">
        <v>1215</v>
      </c>
      <c r="B94" s="70">
        <v>46248</v>
      </c>
      <c r="C94" s="2" t="s">
        <v>1014</v>
      </c>
      <c r="D94" s="37" t="str">
        <f>IFERROR(INDEX(TB_COA!$B$5:$B$1000,MATCH(C94,TB_COA!$A$5:$A$1000,0)),"")</f>
        <v>AP - Foreign Hotels &amp; Suppliers</v>
      </c>
      <c r="E94" s="37">
        <f>F45</f>
        <v>922752</v>
      </c>
      <c r="F94" s="2">
        <v>0</v>
      </c>
      <c r="G94" s="2">
        <v>0</v>
      </c>
      <c r="J94" s="2" t="s">
        <v>1216</v>
      </c>
      <c r="L94" s="2" t="s">
        <v>1217</v>
      </c>
    </row>
    <row r="95" spans="1:12" ht="18" customHeight="1" x14ac:dyDescent="0.35">
      <c r="A95" s="2" t="s">
        <v>1215</v>
      </c>
      <c r="B95" s="70">
        <v>46248</v>
      </c>
      <c r="C95" s="2" t="s">
        <v>811</v>
      </c>
      <c r="D95" s="37" t="str">
        <f>IFERROR(INDEX(TB_COA!$B$5:$B$1000,MATCH(C95,TB_COA!$A$5:$A$1000,0)),"")</f>
        <v>Bank Charges &amp; Realized FX Loss</v>
      </c>
      <c r="E95" s="2">
        <v>1728</v>
      </c>
      <c r="F95" s="2">
        <v>0</v>
      </c>
      <c r="G95" s="2">
        <v>0</v>
      </c>
      <c r="J95" s="2" t="s">
        <v>1216</v>
      </c>
      <c r="K95" s="2" t="s">
        <v>1199</v>
      </c>
      <c r="L95" s="2" t="s">
        <v>1218</v>
      </c>
    </row>
    <row r="96" spans="1:12" ht="18" customHeight="1" x14ac:dyDescent="0.35">
      <c r="A96" s="2" t="s">
        <v>1215</v>
      </c>
      <c r="B96" s="70">
        <v>46248</v>
      </c>
      <c r="C96" s="2" t="s">
        <v>987</v>
      </c>
      <c r="D96" s="37" t="str">
        <f>IFERROR(INDEX(TB_COA!$B$5:$B$1000,MATCH(C96,TB_COA!$A$5:$A$1000,0)),"")</f>
        <v>Bank Account - EUR</v>
      </c>
      <c r="E96" s="2">
        <v>0</v>
      </c>
      <c r="F96" s="37">
        <f>E94+E95-F97</f>
        <v>900197.05263157899</v>
      </c>
      <c r="G96" s="2">
        <v>17280</v>
      </c>
      <c r="H96" s="2" t="s">
        <v>313</v>
      </c>
      <c r="I96" s="2">
        <v>53.5</v>
      </c>
      <c r="J96" s="2" t="s">
        <v>1216</v>
      </c>
      <c r="L96" s="2" t="s">
        <v>1219</v>
      </c>
    </row>
    <row r="97" spans="1:12" ht="18" customHeight="1" x14ac:dyDescent="0.35">
      <c r="A97" s="2" t="s">
        <v>1215</v>
      </c>
      <c r="B97" s="70">
        <v>46248</v>
      </c>
      <c r="C97" s="2" t="s">
        <v>741</v>
      </c>
      <c r="D97" s="37" t="str">
        <f>IFERROR(INDEX(TB_COA!$B$5:$B$1000,MATCH(C97,TB_COA!$A$5:$A$1000,0)),"")</f>
        <v>Withholding Tax Payable</v>
      </c>
      <c r="E97" s="2">
        <v>0</v>
      </c>
      <c r="F97" s="37">
        <f>TB_WHT_Quarterly!F7</f>
        <v>24282.947368421057</v>
      </c>
      <c r="G97" s="2">
        <v>0</v>
      </c>
      <c r="J97" s="2" t="s">
        <v>1216</v>
      </c>
      <c r="L97" s="2" t="s">
        <v>1220</v>
      </c>
    </row>
    <row r="98" spans="1:12" ht="18" customHeight="1" x14ac:dyDescent="0.35">
      <c r="A98" s="2" t="s">
        <v>1221</v>
      </c>
      <c r="B98" s="70">
        <v>46248</v>
      </c>
      <c r="C98" s="2" t="s">
        <v>1014</v>
      </c>
      <c r="D98" s="37" t="str">
        <f>IFERROR(INDEX(TB_COA!$B$5:$B$1000,MATCH(C98,TB_COA!$A$5:$A$1000,0)),"")</f>
        <v>AP - Foreign Hotels &amp; Suppliers</v>
      </c>
      <c r="E98" s="37">
        <f>F48</f>
        <v>123782.39999999999</v>
      </c>
      <c r="F98" s="2">
        <v>0</v>
      </c>
      <c r="G98" s="2">
        <v>0</v>
      </c>
      <c r="J98" s="2" t="s">
        <v>1222</v>
      </c>
      <c r="L98" s="2" t="s">
        <v>1223</v>
      </c>
    </row>
    <row r="99" spans="1:12" ht="18" customHeight="1" x14ac:dyDescent="0.35">
      <c r="A99" s="2" t="s">
        <v>1221</v>
      </c>
      <c r="B99" s="70">
        <v>46248</v>
      </c>
      <c r="C99" s="2" t="s">
        <v>811</v>
      </c>
      <c r="D99" s="37" t="str">
        <f>IFERROR(INDEX(TB_COA!$B$5:$B$1000,MATCH(C99,TB_COA!$A$5:$A$1000,0)),"")</f>
        <v>Bank Charges &amp; Realized FX Loss</v>
      </c>
      <c r="E99" s="2">
        <v>50.4</v>
      </c>
      <c r="F99" s="2">
        <v>0</v>
      </c>
      <c r="G99" s="2">
        <v>0</v>
      </c>
      <c r="J99" s="2" t="s">
        <v>1222</v>
      </c>
      <c r="K99" s="2" t="s">
        <v>1199</v>
      </c>
      <c r="L99" s="2" t="s">
        <v>1224</v>
      </c>
    </row>
    <row r="100" spans="1:12" ht="18" customHeight="1" x14ac:dyDescent="0.35">
      <c r="A100" s="2" t="s">
        <v>1221</v>
      </c>
      <c r="B100" s="70">
        <v>46248</v>
      </c>
      <c r="C100" s="2" t="s">
        <v>985</v>
      </c>
      <c r="D100" s="37" t="str">
        <f>IFERROR(INDEX(TB_COA!$B$5:$B$1000,MATCH(C100,TB_COA!$A$5:$A$1000,0)),"")</f>
        <v>Bank Account - USD</v>
      </c>
      <c r="E100" s="2">
        <v>0</v>
      </c>
      <c r="F100" s="37">
        <f>E98+E99-F101</f>
        <v>120575.36842105263</v>
      </c>
      <c r="G100" s="2">
        <v>2520</v>
      </c>
      <c r="H100" s="2" t="s">
        <v>277</v>
      </c>
      <c r="I100" s="2">
        <v>49.14</v>
      </c>
      <c r="J100" s="2" t="s">
        <v>1222</v>
      </c>
      <c r="L100" s="2" t="s">
        <v>1225</v>
      </c>
    </row>
    <row r="101" spans="1:12" ht="18" customHeight="1" x14ac:dyDescent="0.35">
      <c r="A101" s="2" t="s">
        <v>1221</v>
      </c>
      <c r="B101" s="70">
        <v>46248</v>
      </c>
      <c r="C101" s="2" t="s">
        <v>741</v>
      </c>
      <c r="D101" s="37" t="str">
        <f>IFERROR(INDEX(TB_COA!$B$5:$B$1000,MATCH(C101,TB_COA!$A$5:$A$1000,0)),"")</f>
        <v>Withholding Tax Payable</v>
      </c>
      <c r="E101" s="2">
        <v>0</v>
      </c>
      <c r="F101" s="37">
        <f>TB_WHT_Quarterly!F8</f>
        <v>3257.4315789473681</v>
      </c>
      <c r="G101" s="2">
        <v>0</v>
      </c>
      <c r="J101" s="2" t="s">
        <v>1222</v>
      </c>
      <c r="L101" s="2" t="s">
        <v>1226</v>
      </c>
    </row>
    <row r="102" spans="1:12" ht="18" customHeight="1" x14ac:dyDescent="0.35">
      <c r="A102" s="2" t="s">
        <v>1227</v>
      </c>
      <c r="B102" s="70">
        <v>46263</v>
      </c>
      <c r="C102" s="2" t="s">
        <v>1014</v>
      </c>
      <c r="D102" s="37" t="str">
        <f>IFERROR(INDEX(TB_COA!$B$5:$B$1000,MATCH(C102,TB_COA!$A$5:$A$1000,0)),"")</f>
        <v>AP - Foreign Hotels &amp; Suppliers</v>
      </c>
      <c r="E102" s="37">
        <f>F51</f>
        <v>5766880</v>
      </c>
      <c r="F102" s="2">
        <v>0</v>
      </c>
      <c r="G102" s="2">
        <v>0</v>
      </c>
      <c r="J102" s="2" t="s">
        <v>1228</v>
      </c>
      <c r="L102" s="2" t="s">
        <v>1229</v>
      </c>
    </row>
    <row r="103" spans="1:12" ht="18" customHeight="1" x14ac:dyDescent="0.35">
      <c r="A103" s="2" t="s">
        <v>1227</v>
      </c>
      <c r="B103" s="70">
        <v>46263</v>
      </c>
      <c r="C103" s="2" t="s">
        <v>811</v>
      </c>
      <c r="D103" s="37" t="str">
        <f>IFERROR(INDEX(TB_COA!$B$5:$B$1000,MATCH(C103,TB_COA!$A$5:$A$1000,0)),"")</f>
        <v>Bank Charges &amp; Realized FX Loss</v>
      </c>
      <c r="E103" s="2">
        <v>21280</v>
      </c>
      <c r="F103" s="2">
        <v>0</v>
      </c>
      <c r="G103" s="2">
        <v>0</v>
      </c>
      <c r="J103" s="2" t="s">
        <v>1228</v>
      </c>
      <c r="K103" s="2" t="s">
        <v>1199</v>
      </c>
      <c r="L103" s="2" t="s">
        <v>1230</v>
      </c>
    </row>
    <row r="104" spans="1:12" ht="18" customHeight="1" x14ac:dyDescent="0.35">
      <c r="A104" s="2" t="s">
        <v>1227</v>
      </c>
      <c r="B104" s="70">
        <v>46263</v>
      </c>
      <c r="C104" s="2" t="s">
        <v>987</v>
      </c>
      <c r="D104" s="37" t="str">
        <f>IFERROR(INDEX(TB_COA!$B$5:$B$1000,MATCH(C104,TB_COA!$A$5:$A$1000,0)),"")</f>
        <v>Bank Account - EUR</v>
      </c>
      <c r="E104" s="2">
        <v>0</v>
      </c>
      <c r="F104" s="37">
        <f>E102+E103-F105</f>
        <v>5636400</v>
      </c>
      <c r="G104" s="2">
        <v>106400</v>
      </c>
      <c r="H104" s="2" t="s">
        <v>313</v>
      </c>
      <c r="I104" s="2">
        <v>54.4</v>
      </c>
      <c r="J104" s="2" t="s">
        <v>1228</v>
      </c>
      <c r="L104" s="2" t="s">
        <v>1231</v>
      </c>
    </row>
    <row r="105" spans="1:12" ht="18" customHeight="1" x14ac:dyDescent="0.35">
      <c r="A105" s="2" t="s">
        <v>1227</v>
      </c>
      <c r="B105" s="70">
        <v>46263</v>
      </c>
      <c r="C105" s="2" t="s">
        <v>741</v>
      </c>
      <c r="D105" s="37" t="str">
        <f>IFERROR(INDEX(TB_COA!$B$5:$B$1000,MATCH(C105,TB_COA!$A$5:$A$1000,0)),"")</f>
        <v>Withholding Tax Payable</v>
      </c>
      <c r="E105" s="2">
        <v>0</v>
      </c>
      <c r="F105" s="37">
        <f>TB_WHT_Quarterly!F9</f>
        <v>151760</v>
      </c>
      <c r="G105" s="2">
        <v>0</v>
      </c>
      <c r="J105" s="2" t="s">
        <v>1228</v>
      </c>
      <c r="L105" s="2" t="s">
        <v>1232</v>
      </c>
    </row>
    <row r="106" spans="1:12" ht="18" customHeight="1" x14ac:dyDescent="0.35">
      <c r="A106" s="2" t="s">
        <v>1233</v>
      </c>
      <c r="B106" s="70">
        <v>46263</v>
      </c>
      <c r="C106" s="2" t="s">
        <v>1014</v>
      </c>
      <c r="D106" s="37" t="str">
        <f>IFERROR(INDEX(TB_COA!$B$5:$B$1000,MATCH(C106,TB_COA!$A$5:$A$1000,0)),"")</f>
        <v>AP - Foreign Hotels &amp; Suppliers</v>
      </c>
      <c r="E106" s="37">
        <f>F54</f>
        <v>952476</v>
      </c>
      <c r="F106" s="2">
        <v>0</v>
      </c>
      <c r="G106" s="2">
        <v>0</v>
      </c>
      <c r="J106" s="2" t="s">
        <v>1234</v>
      </c>
      <c r="L106" s="2" t="s">
        <v>1235</v>
      </c>
    </row>
    <row r="107" spans="1:12" ht="18" customHeight="1" x14ac:dyDescent="0.35">
      <c r="A107" s="2" t="s">
        <v>1233</v>
      </c>
      <c r="B107" s="70">
        <v>46263</v>
      </c>
      <c r="C107" s="2" t="s">
        <v>811</v>
      </c>
      <c r="D107" s="37" t="str">
        <f>IFERROR(INDEX(TB_COA!$B$5:$B$1000,MATCH(C107,TB_COA!$A$5:$A$1000,0)),"")</f>
        <v>Bank Charges &amp; Realized FX Loss</v>
      </c>
      <c r="E107" s="2">
        <v>3864</v>
      </c>
      <c r="F107" s="2">
        <v>0</v>
      </c>
      <c r="G107" s="2">
        <v>0</v>
      </c>
      <c r="J107" s="2" t="s">
        <v>1234</v>
      </c>
      <c r="K107" s="2" t="s">
        <v>1199</v>
      </c>
      <c r="L107" s="2" t="s">
        <v>1236</v>
      </c>
    </row>
    <row r="108" spans="1:12" ht="18" customHeight="1" x14ac:dyDescent="0.35">
      <c r="A108" s="2" t="s">
        <v>1233</v>
      </c>
      <c r="B108" s="70">
        <v>46263</v>
      </c>
      <c r="C108" s="2" t="s">
        <v>985</v>
      </c>
      <c r="D108" s="37" t="str">
        <f>IFERROR(INDEX(TB_COA!$B$5:$B$1000,MATCH(C108,TB_COA!$A$5:$A$1000,0)),"")</f>
        <v>Bank Account - USD</v>
      </c>
      <c r="E108" s="2">
        <v>0</v>
      </c>
      <c r="F108" s="37">
        <f>E106+E107-F109</f>
        <v>931274.84210526315</v>
      </c>
      <c r="G108" s="2">
        <v>19320</v>
      </c>
      <c r="H108" s="2" t="s">
        <v>277</v>
      </c>
      <c r="I108" s="2">
        <v>49.5</v>
      </c>
      <c r="J108" s="2" t="s">
        <v>1234</v>
      </c>
      <c r="L108" s="2" t="s">
        <v>1237</v>
      </c>
    </row>
    <row r="109" spans="1:12" ht="18" customHeight="1" x14ac:dyDescent="0.35">
      <c r="A109" s="2" t="s">
        <v>1233</v>
      </c>
      <c r="B109" s="70">
        <v>46263</v>
      </c>
      <c r="C109" s="2" t="s">
        <v>741</v>
      </c>
      <c r="D109" s="37" t="str">
        <f>IFERROR(INDEX(TB_COA!$B$5:$B$1000,MATCH(C109,TB_COA!$A$5:$A$1000,0)),"")</f>
        <v>Withholding Tax Payable</v>
      </c>
      <c r="E109" s="2">
        <v>0</v>
      </c>
      <c r="F109" s="37">
        <f>TB_WHT_Quarterly!F10</f>
        <v>25065.157894736843</v>
      </c>
      <c r="G109" s="2">
        <v>0</v>
      </c>
      <c r="J109" s="2" t="s">
        <v>1234</v>
      </c>
      <c r="L109" s="2" t="s">
        <v>1238</v>
      </c>
    </row>
    <row r="110" spans="1:12" ht="18" customHeight="1" x14ac:dyDescent="0.35">
      <c r="A110" s="2" t="s">
        <v>1239</v>
      </c>
      <c r="B110" s="70">
        <v>46265</v>
      </c>
      <c r="C110" s="2" t="s">
        <v>1014</v>
      </c>
      <c r="D110" s="37" t="str">
        <f>IFERROR(INDEX(TB_COA!$B$5:$B$1000,MATCH(C110,TB_COA!$A$5:$A$1000,0)),"")</f>
        <v>AP - Foreign Hotels &amp; Suppliers</v>
      </c>
      <c r="E110" s="37">
        <f>F57</f>
        <v>1101056</v>
      </c>
      <c r="F110" s="2">
        <v>0</v>
      </c>
      <c r="G110" s="2">
        <v>0</v>
      </c>
      <c r="J110" s="2" t="s">
        <v>1240</v>
      </c>
      <c r="L110" s="2" t="s">
        <v>1241</v>
      </c>
    </row>
    <row r="111" spans="1:12" ht="18" customHeight="1" x14ac:dyDescent="0.35">
      <c r="A111" s="2" t="s">
        <v>1239</v>
      </c>
      <c r="B111" s="70">
        <v>46265</v>
      </c>
      <c r="C111" s="2" t="s">
        <v>811</v>
      </c>
      <c r="D111" s="37" t="str">
        <f>IFERROR(INDEX(TB_COA!$B$5:$B$1000,MATCH(C111,TB_COA!$A$5:$A$1000,0)),"")</f>
        <v>Bank Charges &amp; Realized FX Loss</v>
      </c>
      <c r="E111" s="2">
        <v>1740.8</v>
      </c>
      <c r="F111" s="2">
        <v>0</v>
      </c>
      <c r="G111" s="2">
        <v>0</v>
      </c>
      <c r="J111" s="2" t="s">
        <v>1240</v>
      </c>
      <c r="K111" s="2" t="s">
        <v>1199</v>
      </c>
      <c r="L111" s="2" t="s">
        <v>1242</v>
      </c>
    </row>
    <row r="112" spans="1:12" ht="18" customHeight="1" x14ac:dyDescent="0.35">
      <c r="A112" s="2" t="s">
        <v>1239</v>
      </c>
      <c r="B112" s="70">
        <v>46265</v>
      </c>
      <c r="C112" s="2" t="s">
        <v>987</v>
      </c>
      <c r="D112" s="37" t="str">
        <f>IFERROR(INDEX(TB_COA!$B$5:$B$1000,MATCH(C112,TB_COA!$A$5:$A$1000,0)),"")</f>
        <v>Bank Account - EUR</v>
      </c>
      <c r="E112" s="2">
        <v>0</v>
      </c>
      <c r="F112" s="37">
        <f>E110+E111-F113</f>
        <v>1073821.6421052632</v>
      </c>
      <c r="G112" s="2">
        <v>17408</v>
      </c>
      <c r="H112" s="2" t="s">
        <v>409</v>
      </c>
      <c r="I112" s="2">
        <v>63.35</v>
      </c>
      <c r="J112" s="2" t="s">
        <v>1240</v>
      </c>
      <c r="L112" s="2" t="s">
        <v>1243</v>
      </c>
    </row>
    <row r="113" spans="1:12" ht="18" customHeight="1" x14ac:dyDescent="0.35">
      <c r="A113" s="2" t="s">
        <v>1239</v>
      </c>
      <c r="B113" s="70">
        <v>46265</v>
      </c>
      <c r="C113" s="2" t="s">
        <v>741</v>
      </c>
      <c r="D113" s="37" t="str">
        <f>IFERROR(INDEX(TB_COA!$B$5:$B$1000,MATCH(C113,TB_COA!$A$5:$A$1000,0)),"")</f>
        <v>Withholding Tax Payable</v>
      </c>
      <c r="E113" s="2">
        <v>0</v>
      </c>
      <c r="F113" s="37">
        <f>TB_WHT_Quarterly!F11</f>
        <v>28975.157894736843</v>
      </c>
      <c r="G113" s="2">
        <v>0</v>
      </c>
      <c r="J113" s="2" t="s">
        <v>1240</v>
      </c>
      <c r="L113" s="2" t="s">
        <v>1244</v>
      </c>
    </row>
    <row r="114" spans="1:12" ht="18" customHeight="1" x14ac:dyDescent="0.35">
      <c r="A114" s="2" t="s">
        <v>1245</v>
      </c>
      <c r="B114" s="70">
        <v>46263</v>
      </c>
      <c r="C114" s="2" t="s">
        <v>1014</v>
      </c>
      <c r="D114" s="37" t="str">
        <f>IFERROR(INDEX(TB_COA!$B$5:$B$1000,MATCH(C114,TB_COA!$A$5:$A$1000,0)),"")</f>
        <v>AP - Foreign Hotels &amp; Suppliers</v>
      </c>
      <c r="E114" s="37">
        <f>F60</f>
        <v>1656480</v>
      </c>
      <c r="F114" s="2">
        <v>0</v>
      </c>
      <c r="G114" s="2">
        <v>0</v>
      </c>
      <c r="J114" s="2" t="s">
        <v>1246</v>
      </c>
      <c r="L114" s="2" t="s">
        <v>1247</v>
      </c>
    </row>
    <row r="115" spans="1:12" ht="18" customHeight="1" x14ac:dyDescent="0.35">
      <c r="A115" s="2" t="s">
        <v>1245</v>
      </c>
      <c r="B115" s="70">
        <v>46263</v>
      </c>
      <c r="C115" s="2" t="s">
        <v>811</v>
      </c>
      <c r="D115" s="37" t="str">
        <f>IFERROR(INDEX(TB_COA!$B$5:$B$1000,MATCH(C115,TB_COA!$A$5:$A$1000,0)),"")</f>
        <v>Bank Charges &amp; Realized FX Loss</v>
      </c>
      <c r="E115" s="2">
        <v>6720</v>
      </c>
      <c r="F115" s="2">
        <v>0</v>
      </c>
      <c r="G115" s="2">
        <v>0</v>
      </c>
      <c r="J115" s="2" t="s">
        <v>1246</v>
      </c>
      <c r="K115" s="2" t="s">
        <v>1199</v>
      </c>
      <c r="L115" s="2" t="s">
        <v>1248</v>
      </c>
    </row>
    <row r="116" spans="1:12" ht="18" customHeight="1" x14ac:dyDescent="0.35">
      <c r="A116" s="2" t="s">
        <v>1245</v>
      </c>
      <c r="B116" s="70">
        <v>46263</v>
      </c>
      <c r="C116" s="2" t="s">
        <v>985</v>
      </c>
      <c r="D116" s="37" t="str">
        <f>IFERROR(INDEX(TB_COA!$B$5:$B$1000,MATCH(C116,TB_COA!$A$5:$A$1000,0)),"")</f>
        <v>Bank Account - USD</v>
      </c>
      <c r="E116" s="2">
        <v>0</v>
      </c>
      <c r="F116" s="37">
        <f>E114+E115-F117</f>
        <v>1619608.4210526317</v>
      </c>
      <c r="G116" s="2">
        <v>33600</v>
      </c>
      <c r="H116" s="2" t="s">
        <v>277</v>
      </c>
      <c r="I116" s="2">
        <v>49.5</v>
      </c>
      <c r="J116" s="2" t="s">
        <v>1246</v>
      </c>
      <c r="L116" s="2" t="s">
        <v>1249</v>
      </c>
    </row>
    <row r="117" spans="1:12" ht="18" customHeight="1" x14ac:dyDescent="0.35">
      <c r="A117" s="2" t="s">
        <v>1245</v>
      </c>
      <c r="B117" s="70">
        <v>46263</v>
      </c>
      <c r="C117" s="2" t="s">
        <v>741</v>
      </c>
      <c r="D117" s="37" t="str">
        <f>IFERROR(INDEX(TB_COA!$B$5:$B$1000,MATCH(C117,TB_COA!$A$5:$A$1000,0)),"")</f>
        <v>Withholding Tax Payable</v>
      </c>
      <c r="E117" s="2">
        <v>0</v>
      </c>
      <c r="F117" s="37">
        <f>TB_WHT_Quarterly!F12</f>
        <v>43591.57894736842</v>
      </c>
      <c r="G117" s="2">
        <v>0</v>
      </c>
      <c r="J117" s="2" t="s">
        <v>1246</v>
      </c>
      <c r="L117" s="2" t="s">
        <v>1250</v>
      </c>
    </row>
    <row r="118" spans="1:12" ht="18" customHeight="1" x14ac:dyDescent="0.35">
      <c r="A118" s="2" t="s">
        <v>1251</v>
      </c>
      <c r="B118" s="70">
        <v>46266</v>
      </c>
      <c r="C118" s="2" t="s">
        <v>1014</v>
      </c>
      <c r="D118" s="37" t="str">
        <f>IFERROR(INDEX(TB_COA!$B$5:$B$1000,MATCH(C118,TB_COA!$A$5:$A$1000,0)),"")</f>
        <v>AP - Foreign Hotels &amp; Suppliers</v>
      </c>
      <c r="E118" s="37">
        <f>F63</f>
        <v>1683136</v>
      </c>
      <c r="F118" s="2">
        <v>0</v>
      </c>
      <c r="G118" s="2">
        <v>0</v>
      </c>
      <c r="J118" s="2" t="s">
        <v>1252</v>
      </c>
      <c r="L118" s="2" t="s">
        <v>1253</v>
      </c>
    </row>
    <row r="119" spans="1:12" ht="18" customHeight="1" x14ac:dyDescent="0.35">
      <c r="A119" s="2" t="s">
        <v>1251</v>
      </c>
      <c r="B119" s="70">
        <v>46266</v>
      </c>
      <c r="C119" s="2" t="s">
        <v>811</v>
      </c>
      <c r="D119" s="37" t="str">
        <f>IFERROR(INDEX(TB_COA!$B$5:$B$1000,MATCH(C119,TB_COA!$A$5:$A$1000,0)),"")</f>
        <v>Bank Charges &amp; Realized FX Loss</v>
      </c>
      <c r="E119" s="2">
        <v>3094</v>
      </c>
      <c r="F119" s="2">
        <v>0</v>
      </c>
      <c r="G119" s="2">
        <v>0</v>
      </c>
      <c r="J119" s="2" t="s">
        <v>1252</v>
      </c>
      <c r="K119" s="2" t="s">
        <v>1199</v>
      </c>
      <c r="L119" s="2" t="s">
        <v>1254</v>
      </c>
    </row>
    <row r="120" spans="1:12" ht="18" customHeight="1" x14ac:dyDescent="0.35">
      <c r="A120" s="2" t="s">
        <v>1251</v>
      </c>
      <c r="B120" s="70">
        <v>46266</v>
      </c>
      <c r="C120" s="2" t="s">
        <v>987</v>
      </c>
      <c r="D120" s="37" t="str">
        <f>IFERROR(INDEX(TB_COA!$B$5:$B$1000,MATCH(C120,TB_COA!$A$5:$A$1000,0)),"")</f>
        <v>Bank Account - EUR</v>
      </c>
      <c r="E120" s="2">
        <v>0</v>
      </c>
      <c r="F120" s="37">
        <f>E118+E119-F121</f>
        <v>1641936.9473684211</v>
      </c>
      <c r="G120" s="2">
        <v>30940</v>
      </c>
      <c r="H120" s="2" t="s">
        <v>313</v>
      </c>
      <c r="I120" s="2">
        <v>54.5</v>
      </c>
      <c r="J120" s="2" t="s">
        <v>1252</v>
      </c>
      <c r="L120" s="2" t="s">
        <v>1255</v>
      </c>
    </row>
    <row r="121" spans="1:12" ht="18" customHeight="1" x14ac:dyDescent="0.35">
      <c r="A121" s="2" t="s">
        <v>1251</v>
      </c>
      <c r="B121" s="70">
        <v>46266</v>
      </c>
      <c r="C121" s="2" t="s">
        <v>741</v>
      </c>
      <c r="D121" s="37" t="str">
        <f>IFERROR(INDEX(TB_COA!$B$5:$B$1000,MATCH(C121,TB_COA!$A$5:$A$1000,0)),"")</f>
        <v>Withholding Tax Payable</v>
      </c>
      <c r="E121" s="2">
        <v>0</v>
      </c>
      <c r="F121" s="37">
        <f>TB_WHT_Quarterly!F13</f>
        <v>44293.052631578954</v>
      </c>
      <c r="G121" s="2">
        <v>0</v>
      </c>
      <c r="J121" s="2" t="s">
        <v>1252</v>
      </c>
      <c r="L121" s="2" t="s">
        <v>1256</v>
      </c>
    </row>
    <row r="122" spans="1:12" ht="18" customHeight="1" x14ac:dyDescent="0.35">
      <c r="A122" s="2" t="s">
        <v>1257</v>
      </c>
      <c r="B122" s="70">
        <v>46295</v>
      </c>
      <c r="C122" s="2" t="s">
        <v>741</v>
      </c>
      <c r="D122" s="37" t="str">
        <f>IFERROR(INDEX(TB_COA!$B$5:$B$1000,MATCH(C122,TB_COA!$A$5:$A$1000,0)),"")</f>
        <v>Withholding Tax Payable</v>
      </c>
      <c r="E122" s="2">
        <v>646747.21</v>
      </c>
      <c r="F122" s="2">
        <v>0</v>
      </c>
      <c r="G122" s="2">
        <v>0</v>
      </c>
      <c r="J122" s="2" t="s">
        <v>1258</v>
      </c>
      <c r="L122" s="2" t="s">
        <v>823</v>
      </c>
    </row>
    <row r="123" spans="1:12" ht="18" customHeight="1" x14ac:dyDescent="0.35">
      <c r="A123" s="2" t="s">
        <v>1257</v>
      </c>
      <c r="B123" s="70">
        <v>46295</v>
      </c>
      <c r="C123" s="2" t="s">
        <v>982</v>
      </c>
      <c r="D123" s="37" t="str">
        <f>IFERROR(INDEX(TB_COA!$B$5:$B$1000,MATCH(C123,TB_COA!$A$5:$A$1000,0)),"")</f>
        <v>Bank Account - EGP</v>
      </c>
      <c r="E123" s="2">
        <v>0</v>
      </c>
      <c r="F123" s="2">
        <v>646747.21</v>
      </c>
      <c r="G123" s="2">
        <v>0</v>
      </c>
      <c r="J123" s="2" t="s">
        <v>1258</v>
      </c>
      <c r="L123" s="2" t="s">
        <v>1259</v>
      </c>
    </row>
    <row r="124" spans="1:12" ht="18" customHeight="1" x14ac:dyDescent="0.35">
      <c r="A124" s="2" t="s">
        <v>1260</v>
      </c>
      <c r="B124" s="70">
        <v>46242</v>
      </c>
      <c r="C124" s="2" t="s">
        <v>974</v>
      </c>
      <c r="D124" s="37" t="str">
        <f>IFERROR(INDEX(TB_COA!$B$5:$B$1000,MATCH(C124,TB_COA!$A$5:$A$1000,0)),"")</f>
        <v>Main Safe - EGP</v>
      </c>
      <c r="E124" s="2">
        <v>25249.7</v>
      </c>
      <c r="F124" s="2">
        <v>0</v>
      </c>
      <c r="G124" s="2">
        <v>0</v>
      </c>
      <c r="J124" s="2" t="s">
        <v>1261</v>
      </c>
      <c r="L124" s="2" t="s">
        <v>1262</v>
      </c>
    </row>
    <row r="125" spans="1:12" ht="18" customHeight="1" x14ac:dyDescent="0.35">
      <c r="A125" s="2" t="s">
        <v>1260</v>
      </c>
      <c r="B125" s="70">
        <v>46242</v>
      </c>
      <c r="C125" s="2" t="s">
        <v>1043</v>
      </c>
      <c r="D125" s="37" t="str">
        <f>IFERROR(INDEX(TB_COA!$B$5:$B$1000,MATCH(C125,TB_COA!$A$5:$A$1000,0)),"")</f>
        <v>Revenue - Optional Excursions</v>
      </c>
      <c r="E125" s="2">
        <v>0</v>
      </c>
      <c r="F125" s="2">
        <v>25249.7</v>
      </c>
      <c r="G125" s="2">
        <v>0</v>
      </c>
      <c r="J125" s="2" t="s">
        <v>1261</v>
      </c>
      <c r="L125" s="2" t="s">
        <v>1263</v>
      </c>
    </row>
    <row r="126" spans="1:12" ht="18" customHeight="1" x14ac:dyDescent="0.35">
      <c r="A126" s="2" t="s">
        <v>1264</v>
      </c>
      <c r="B126" s="70">
        <v>46242</v>
      </c>
      <c r="C126" s="2" t="s">
        <v>1059</v>
      </c>
      <c r="D126" s="37" t="str">
        <f>IFERROR(INDEX(TB_COA!$B$5:$B$1000,MATCH(C126,TB_COA!$A$5:$A$1000,0)),"")</f>
        <v>COGS - Excursion Rep Commission</v>
      </c>
      <c r="E126" s="2">
        <v>2637.19</v>
      </c>
      <c r="F126" s="2">
        <v>0</v>
      </c>
      <c r="G126" s="2">
        <v>0</v>
      </c>
      <c r="J126" s="2" t="s">
        <v>1261</v>
      </c>
      <c r="L126" s="2" t="s">
        <v>1265</v>
      </c>
    </row>
    <row r="127" spans="1:12" ht="18" customHeight="1" x14ac:dyDescent="0.35">
      <c r="A127" s="2" t="s">
        <v>1264</v>
      </c>
      <c r="B127" s="70">
        <v>46242</v>
      </c>
      <c r="C127" s="2" t="s">
        <v>1024</v>
      </c>
      <c r="D127" s="37" t="str">
        <f>IFERROR(INDEX(TB_COA!$B$5:$B$1000,MATCH(C127,TB_COA!$A$5:$A$1000,0)),"")</f>
        <v>Agent Commissions Payable</v>
      </c>
      <c r="E127" s="2">
        <v>0</v>
      </c>
      <c r="F127" s="2">
        <v>2637.19</v>
      </c>
      <c r="G127" s="2">
        <v>0</v>
      </c>
      <c r="J127" s="2" t="s">
        <v>1261</v>
      </c>
      <c r="L127" s="2" t="s">
        <v>1266</v>
      </c>
    </row>
    <row r="128" spans="1:12" ht="18" customHeight="1" x14ac:dyDescent="0.35">
      <c r="A128" s="2" t="s">
        <v>1267</v>
      </c>
      <c r="B128" s="70">
        <v>46250</v>
      </c>
      <c r="C128" s="2" t="s">
        <v>974</v>
      </c>
      <c r="D128" s="37" t="str">
        <f>IFERROR(INDEX(TB_COA!$B$5:$B$1000,MATCH(C128,TB_COA!$A$5:$A$1000,0)),"")</f>
        <v>Main Safe - EGP</v>
      </c>
      <c r="E128" s="2">
        <v>11577.75</v>
      </c>
      <c r="F128" s="2">
        <v>0</v>
      </c>
      <c r="G128" s="2">
        <v>0</v>
      </c>
      <c r="J128" s="2" t="s">
        <v>1268</v>
      </c>
      <c r="L128" s="2" t="s">
        <v>1269</v>
      </c>
    </row>
    <row r="129" spans="1:12" ht="18" customHeight="1" x14ac:dyDescent="0.35">
      <c r="A129" s="2" t="s">
        <v>1267</v>
      </c>
      <c r="B129" s="70">
        <v>46250</v>
      </c>
      <c r="C129" s="2" t="s">
        <v>1043</v>
      </c>
      <c r="D129" s="37" t="str">
        <f>IFERROR(INDEX(TB_COA!$B$5:$B$1000,MATCH(C129,TB_COA!$A$5:$A$1000,0)),"")</f>
        <v>Revenue - Optional Excursions</v>
      </c>
      <c r="E129" s="2">
        <v>0</v>
      </c>
      <c r="F129" s="2">
        <v>11577.75</v>
      </c>
      <c r="G129" s="2">
        <v>0</v>
      </c>
      <c r="J129" s="2" t="s">
        <v>1268</v>
      </c>
      <c r="L129" s="2" t="s">
        <v>1270</v>
      </c>
    </row>
    <row r="130" spans="1:12" ht="18" customHeight="1" x14ac:dyDescent="0.35">
      <c r="A130" s="2" t="s">
        <v>1271</v>
      </c>
      <c r="B130" s="70">
        <v>46250</v>
      </c>
      <c r="C130" s="2" t="s">
        <v>1059</v>
      </c>
      <c r="D130" s="37" t="str">
        <f>IFERROR(INDEX(TB_COA!$B$5:$B$1000,MATCH(C130,TB_COA!$A$5:$A$1000,0)),"")</f>
        <v>COGS - Excursion Rep Commission</v>
      </c>
      <c r="E130" s="2">
        <v>1270.8599999999999</v>
      </c>
      <c r="F130" s="2">
        <v>0</v>
      </c>
      <c r="G130" s="2">
        <v>0</v>
      </c>
      <c r="J130" s="2" t="s">
        <v>1268</v>
      </c>
      <c r="L130" s="2" t="s">
        <v>1272</v>
      </c>
    </row>
    <row r="131" spans="1:12" ht="18" customHeight="1" x14ac:dyDescent="0.35">
      <c r="A131" s="2" t="s">
        <v>1271</v>
      </c>
      <c r="B131" s="70">
        <v>46250</v>
      </c>
      <c r="C131" s="2" t="s">
        <v>1024</v>
      </c>
      <c r="D131" s="37" t="str">
        <f>IFERROR(INDEX(TB_COA!$B$5:$B$1000,MATCH(C131,TB_COA!$A$5:$A$1000,0)),"")</f>
        <v>Agent Commissions Payable</v>
      </c>
      <c r="E131" s="2">
        <v>0</v>
      </c>
      <c r="F131" s="2">
        <v>1270.8599999999999</v>
      </c>
      <c r="G131" s="2">
        <v>0</v>
      </c>
      <c r="J131" s="2" t="s">
        <v>1268</v>
      </c>
      <c r="L131" s="2" t="s">
        <v>1273</v>
      </c>
    </row>
    <row r="132" spans="1:12" ht="18" customHeight="1" x14ac:dyDescent="0.35">
      <c r="A132" s="2" t="s">
        <v>1274</v>
      </c>
      <c r="B132" s="70">
        <v>46251</v>
      </c>
      <c r="C132" s="2" t="s">
        <v>974</v>
      </c>
      <c r="D132" s="37" t="str">
        <f>IFERROR(INDEX(TB_COA!$B$5:$B$1000,MATCH(C132,TB_COA!$A$5:$A$1000,0)),"")</f>
        <v>Main Safe - EGP</v>
      </c>
      <c r="E132" s="2">
        <v>7815.5</v>
      </c>
      <c r="F132" s="2">
        <v>0</v>
      </c>
      <c r="G132" s="2">
        <v>0</v>
      </c>
      <c r="J132" s="2" t="s">
        <v>1275</v>
      </c>
      <c r="L132" s="2" t="s">
        <v>1276</v>
      </c>
    </row>
    <row r="133" spans="1:12" ht="18" customHeight="1" x14ac:dyDescent="0.35">
      <c r="A133" s="2" t="s">
        <v>1274</v>
      </c>
      <c r="B133" s="70">
        <v>46251</v>
      </c>
      <c r="C133" s="2" t="s">
        <v>1043</v>
      </c>
      <c r="D133" s="37" t="str">
        <f>IFERROR(INDEX(TB_COA!$B$5:$B$1000,MATCH(C133,TB_COA!$A$5:$A$1000,0)),"")</f>
        <v>Revenue - Optional Excursions</v>
      </c>
      <c r="E133" s="2">
        <v>0</v>
      </c>
      <c r="F133" s="2">
        <v>7815.5</v>
      </c>
      <c r="G133" s="2">
        <v>0</v>
      </c>
      <c r="J133" s="2" t="s">
        <v>1275</v>
      </c>
      <c r="L133" s="2" t="s">
        <v>1277</v>
      </c>
    </row>
    <row r="134" spans="1:12" ht="18" customHeight="1" x14ac:dyDescent="0.35">
      <c r="A134" s="2" t="s">
        <v>1278</v>
      </c>
      <c r="B134" s="70">
        <v>46251</v>
      </c>
      <c r="C134" s="2" t="s">
        <v>1059</v>
      </c>
      <c r="D134" s="37" t="str">
        <f>IFERROR(INDEX(TB_COA!$B$5:$B$1000,MATCH(C134,TB_COA!$A$5:$A$1000,0)),"")</f>
        <v>COGS - Excursion Rep Commission</v>
      </c>
      <c r="E134" s="2">
        <v>819.28</v>
      </c>
      <c r="F134" s="2">
        <v>0</v>
      </c>
      <c r="G134" s="2">
        <v>0</v>
      </c>
      <c r="J134" s="2" t="s">
        <v>1275</v>
      </c>
      <c r="L134" s="2" t="s">
        <v>1279</v>
      </c>
    </row>
    <row r="135" spans="1:12" ht="18" customHeight="1" x14ac:dyDescent="0.35">
      <c r="A135" s="2" t="s">
        <v>1278</v>
      </c>
      <c r="B135" s="70">
        <v>46251</v>
      </c>
      <c r="C135" s="2" t="s">
        <v>1024</v>
      </c>
      <c r="D135" s="37" t="str">
        <f>IFERROR(INDEX(TB_COA!$B$5:$B$1000,MATCH(C135,TB_COA!$A$5:$A$1000,0)),"")</f>
        <v>Agent Commissions Payable</v>
      </c>
      <c r="E135" s="2">
        <v>0</v>
      </c>
      <c r="F135" s="2">
        <v>819.28</v>
      </c>
      <c r="G135" s="2">
        <v>0</v>
      </c>
      <c r="J135" s="2" t="s">
        <v>1275</v>
      </c>
      <c r="L135" s="2" t="s">
        <v>1280</v>
      </c>
    </row>
    <row r="136" spans="1:12" ht="18" customHeight="1" x14ac:dyDescent="0.35">
      <c r="A136" s="2" t="s">
        <v>1281</v>
      </c>
      <c r="B136" s="70">
        <v>46265</v>
      </c>
      <c r="C136" s="2" t="s">
        <v>811</v>
      </c>
      <c r="D136" s="37" t="str">
        <f>IFERROR(INDEX(TB_COA!$B$5:$B$1000,MATCH(C136,TB_COA!$A$5:$A$1000,0)),"")</f>
        <v>Bank Charges &amp; Realized FX Loss</v>
      </c>
      <c r="E136" s="2">
        <v>820</v>
      </c>
      <c r="F136" s="2">
        <v>0</v>
      </c>
      <c r="G136" s="2">
        <v>0</v>
      </c>
      <c r="J136" s="2" t="s">
        <v>680</v>
      </c>
      <c r="L136" s="2" t="s">
        <v>1282</v>
      </c>
    </row>
    <row r="137" spans="1:12" ht="18" customHeight="1" x14ac:dyDescent="0.35">
      <c r="A137" s="2" t="s">
        <v>1281</v>
      </c>
      <c r="B137" s="70">
        <v>46265</v>
      </c>
      <c r="C137" s="2" t="s">
        <v>982</v>
      </c>
      <c r="D137" s="37" t="str">
        <f>IFERROR(INDEX(TB_COA!$B$5:$B$1000,MATCH(C137,TB_COA!$A$5:$A$1000,0)),"")</f>
        <v>Bank Account - EGP</v>
      </c>
      <c r="E137" s="2">
        <v>0</v>
      </c>
      <c r="F137" s="2">
        <v>820</v>
      </c>
      <c r="G137" s="2">
        <v>0</v>
      </c>
      <c r="J137" s="2" t="s">
        <v>680</v>
      </c>
      <c r="L137" s="2" t="s">
        <v>1283</v>
      </c>
    </row>
  </sheetData>
  <sheetProtection algorithmName="SHA-512" hashValue="PyPFeee56TlPkIOj914HHQ6lVmIvEHCvGmv4ouLsvMqyuknhZlPAXMWMyNdQzVF98RMR8fGD9fBCRCnT5QGKWg==" saltValue="30I9uSO3P2egYotEDsvSAg==" spinCount="100000" sheet="1" objects="1" scenarios="1"/>
  <mergeCells count="2">
    <mergeCell ref="A1:L1"/>
    <mergeCell ref="A2:L2"/>
  </mergeCells>
  <hyperlinks>
    <hyperlink ref="N1" location="DMC_NAVIGATION!A1" display="🏠 Back to Home" xr:uid="{00000000-0004-0000-13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J49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14" style="2" customWidth="1"/>
    <col min="2" max="2" width="39" style="2" customWidth="1"/>
    <col min="3" max="3" width="14" style="2" customWidth="1"/>
    <col min="4" max="4" width="20" style="2" customWidth="1"/>
    <col min="5" max="7" width="21" style="2" customWidth="1"/>
    <col min="8" max="8" width="14" style="2" customWidth="1"/>
    <col min="9" max="9" width="8.6328125" style="2"/>
    <col min="10" max="10" width="16" style="2" customWidth="1"/>
    <col min="11" max="16384" width="8.6328125" style="2"/>
  </cols>
  <sheetData>
    <row r="1" spans="1:10" ht="25.5" customHeight="1" x14ac:dyDescent="0.35">
      <c r="A1" s="26" t="s">
        <v>1284</v>
      </c>
      <c r="B1" s="26"/>
      <c r="C1" s="26"/>
      <c r="D1" s="26"/>
      <c r="E1" s="26"/>
      <c r="F1" s="26"/>
      <c r="G1" s="26"/>
      <c r="H1" s="26"/>
      <c r="J1" s="27" t="s">
        <v>88</v>
      </c>
    </row>
    <row r="2" spans="1:10" ht="19.5" customHeight="1" x14ac:dyDescent="0.35">
      <c r="A2" s="29" t="s">
        <v>1285</v>
      </c>
      <c r="B2" s="29"/>
      <c r="C2" s="29"/>
      <c r="D2" s="29"/>
      <c r="E2" s="29"/>
      <c r="F2" s="29"/>
      <c r="G2" s="29"/>
      <c r="H2" s="29"/>
    </row>
    <row r="3" spans="1:10" ht="31.5" customHeight="1" x14ac:dyDescent="0.35">
      <c r="A3" s="34" t="s">
        <v>697</v>
      </c>
      <c r="B3" s="34" t="s">
        <v>698</v>
      </c>
      <c r="C3" s="34" t="s">
        <v>699</v>
      </c>
      <c r="D3" s="34" t="s">
        <v>1286</v>
      </c>
      <c r="E3" s="34" t="s">
        <v>1287</v>
      </c>
      <c r="F3" s="34" t="s">
        <v>1288</v>
      </c>
      <c r="G3" s="34" t="s">
        <v>1289</v>
      </c>
      <c r="H3" s="34" t="s">
        <v>1290</v>
      </c>
    </row>
    <row r="4" spans="1:10" ht="18" customHeight="1" x14ac:dyDescent="0.35">
      <c r="A4" s="37" t="str">
        <f>IFERROR(INDEX(TB_COA!$A$5:$A$49,ROW()-3),"")</f>
        <v>1-1001</v>
      </c>
      <c r="B4" s="37" t="str">
        <f>IF($A4="","",IFERROR(INDEX(TB_COA!$B$5:$B$49,MATCH($A4,TB_COA!$A$5:$A$49,0)),"ACCOUNT NOT FOUND"))</f>
        <v>Main Safe - EGP</v>
      </c>
      <c r="C4" s="37" t="str">
        <f>IF($A4="","",IFERROR(INDEX(TB_COA!$C$5:$C$49,MATCH($A4,TB_COA!$A$5:$A$49,0)),"ACCOUNT NOT FOUND"))</f>
        <v>Asset</v>
      </c>
      <c r="D4" s="37">
        <f>IF($A4="","",SUMIFS(TB_General_Journal!$E:$E,TB_General_Journal!$C:$C,$A4))</f>
        <v>44642.95</v>
      </c>
      <c r="E4" s="37">
        <f>IF($A4="","",SUMIFS(TB_General_Journal!$F:$F,TB_General_Journal!$C:$C,$A4))</f>
        <v>0</v>
      </c>
      <c r="F4" s="2">
        <v>0</v>
      </c>
      <c r="G4" s="37">
        <f t="shared" ref="G4:G48" si="0">F4+D4-E4</f>
        <v>44642.95</v>
      </c>
      <c r="H4" s="37" t="str">
        <f t="shared" ref="H4:H48" si="1">IF(G4="","",IF(G4&gt;0,"Debit",IF(G4&lt;0,"Credit","Zero")))</f>
        <v>Debit</v>
      </c>
    </row>
    <row r="5" spans="1:10" ht="18" customHeight="1" x14ac:dyDescent="0.35">
      <c r="A5" s="37" t="str">
        <f>IFERROR(INDEX(TB_COA!$A$5:$A$49,ROW()-3),"")</f>
        <v>1-1002</v>
      </c>
      <c r="B5" s="37" t="str">
        <f>IF($A5="","",IFERROR(INDEX(TB_COA!$B$5:$B$49,MATCH($A5,TB_COA!$A$5:$A$49,0)),"ACCOUNT NOT FOUND"))</f>
        <v>Petty Cash - FCY</v>
      </c>
      <c r="C5" s="37" t="str">
        <f>IF($A5="","",IFERROR(INDEX(TB_COA!$C$5:$C$49,MATCH($A5,TB_COA!$A$5:$A$49,0)),"ACCOUNT NOT FOUND"))</f>
        <v>Asset</v>
      </c>
      <c r="D5" s="37">
        <f>IF($A5="","",SUMIFS(TB_General_Journal!$E:$E,TB_General_Journal!$C:$C,$A5))</f>
        <v>0</v>
      </c>
      <c r="E5" s="37">
        <f>IF($A5="","",SUMIFS(TB_General_Journal!$F:$F,TB_General_Journal!$C:$C,$A5))</f>
        <v>0</v>
      </c>
      <c r="F5" s="2">
        <v>0</v>
      </c>
      <c r="G5" s="37">
        <f t="shared" si="0"/>
        <v>0</v>
      </c>
      <c r="H5" s="37" t="str">
        <f t="shared" si="1"/>
        <v>Zero</v>
      </c>
    </row>
    <row r="6" spans="1:10" ht="18" customHeight="1" x14ac:dyDescent="0.35">
      <c r="A6" s="37" t="str">
        <f>IFERROR(INDEX(TB_COA!$A$5:$A$49,ROW()-3),"")</f>
        <v>1-1101</v>
      </c>
      <c r="B6" s="37" t="str">
        <f>IF($A6="","",IFERROR(INDEX(TB_COA!$B$5:$B$49,MATCH($A6,TB_COA!$A$5:$A$49,0)),"ACCOUNT NOT FOUND"))</f>
        <v>Bank Account - EGP</v>
      </c>
      <c r="C6" s="37" t="str">
        <f>IF($A6="","",IFERROR(INDEX(TB_COA!$C$5:$C$49,MATCH($A6,TB_COA!$A$5:$A$49,0)),"ACCOUNT NOT FOUND"))</f>
        <v>Asset</v>
      </c>
      <c r="D6" s="37">
        <f>IF($A6="","",SUMIFS(TB_General_Journal!$E:$E,TB_General_Journal!$C:$C,$A6))</f>
        <v>0</v>
      </c>
      <c r="E6" s="37">
        <f>IF($A6="","",SUMIFS(TB_General_Journal!$F:$F,TB_General_Journal!$C:$C,$A6))</f>
        <v>647567.21</v>
      </c>
      <c r="F6" s="2">
        <v>0</v>
      </c>
      <c r="G6" s="37">
        <f t="shared" si="0"/>
        <v>-647567.21</v>
      </c>
      <c r="H6" s="37" t="str">
        <f t="shared" si="1"/>
        <v>Credit</v>
      </c>
    </row>
    <row r="7" spans="1:10" ht="18" customHeight="1" x14ac:dyDescent="0.35">
      <c r="A7" s="37" t="str">
        <f>IFERROR(INDEX(TB_COA!$A$5:$A$49,ROW()-3),"")</f>
        <v>1-1102</v>
      </c>
      <c r="B7" s="37" t="str">
        <f>IF($A7="","",IFERROR(INDEX(TB_COA!$B$5:$B$49,MATCH($A7,TB_COA!$A$5:$A$49,0)),"ACCOUNT NOT FOUND"))</f>
        <v>Bank Account - USD</v>
      </c>
      <c r="C7" s="37" t="str">
        <f>IF($A7="","",IFERROR(INDEX(TB_COA!$C$5:$C$49,MATCH($A7,TB_COA!$A$5:$A$49,0)),"ACCOUNT NOT FOUND"))</f>
        <v>Asset</v>
      </c>
      <c r="D7" s="37">
        <f>IF($A7="","",SUMIFS(TB_General_Journal!$E:$E,TB_General_Journal!$C:$C,$A7))</f>
        <v>1428583.5</v>
      </c>
      <c r="E7" s="37">
        <f>IF($A7="","",SUMIFS(TB_General_Journal!$F:$F,TB_General_Journal!$C:$C,$A7))</f>
        <v>3651338.25</v>
      </c>
      <c r="F7" s="2">
        <v>0</v>
      </c>
      <c r="G7" s="37">
        <f t="shared" si="0"/>
        <v>-2222754.75</v>
      </c>
      <c r="H7" s="37" t="str">
        <f t="shared" si="1"/>
        <v>Credit</v>
      </c>
    </row>
    <row r="8" spans="1:10" ht="18" customHeight="1" x14ac:dyDescent="0.35">
      <c r="A8" s="37" t="str">
        <f>IFERROR(INDEX(TB_COA!$A$5:$A$49,ROW()-3),"")</f>
        <v>1-1103</v>
      </c>
      <c r="B8" s="37" t="str">
        <f>IF($A8="","",IFERROR(INDEX(TB_COA!$B$5:$B$49,MATCH($A8,TB_COA!$A$5:$A$49,0)),"ACCOUNT NOT FOUND"))</f>
        <v>Bank Account - EUR</v>
      </c>
      <c r="C8" s="37" t="str">
        <f>IF($A8="","",IFERROR(INDEX(TB_COA!$C$5:$C$49,MATCH($A8,TB_COA!$A$5:$A$49,0)),"ACCOUNT NOT FOUND"))</f>
        <v>Asset</v>
      </c>
      <c r="D8" s="37">
        <f>IF($A8="","",SUMIFS(TB_General_Journal!$E:$E,TB_General_Journal!$C:$C,$A8))</f>
        <v>16155811</v>
      </c>
      <c r="E8" s="37">
        <f>IF($A8="","",SUMIFS(TB_General_Journal!$F:$F,TB_General_Journal!$C:$C,$A8))</f>
        <v>15289048.800000001</v>
      </c>
      <c r="F8" s="2">
        <v>0</v>
      </c>
      <c r="G8" s="37">
        <f t="shared" si="0"/>
        <v>866762.19999999925</v>
      </c>
      <c r="H8" s="37" t="str">
        <f t="shared" si="1"/>
        <v>Debit</v>
      </c>
    </row>
    <row r="9" spans="1:10" ht="18" customHeight="1" x14ac:dyDescent="0.35">
      <c r="A9" s="37" t="str">
        <f>IFERROR(INDEX(TB_COA!$A$5:$A$49,ROW()-3),"")</f>
        <v>1-1200</v>
      </c>
      <c r="B9" s="37" t="str">
        <f>IF($A9="","",IFERROR(INDEX(TB_COA!$B$5:$B$49,MATCH($A9,TB_COA!$A$5:$A$49,0)),"ACCOUNT NOT FOUND"))</f>
        <v>Rep Cash Advance (Petty Cash)</v>
      </c>
      <c r="C9" s="37" t="str">
        <f>IF($A9="","",IFERROR(INDEX(TB_COA!$C$5:$C$49,MATCH($A9,TB_COA!$A$5:$A$49,0)),"ACCOUNT NOT FOUND"))</f>
        <v>Asset</v>
      </c>
      <c r="D9" s="37">
        <f>IF($A9="","",SUMIFS(TB_General_Journal!$E:$E,TB_General_Journal!$C:$C,$A9))</f>
        <v>0</v>
      </c>
      <c r="E9" s="37">
        <f>IF($A9="","",SUMIFS(TB_General_Journal!$F:$F,TB_General_Journal!$C:$C,$A9))</f>
        <v>0</v>
      </c>
      <c r="F9" s="2">
        <v>0</v>
      </c>
      <c r="G9" s="37">
        <f t="shared" si="0"/>
        <v>0</v>
      </c>
      <c r="H9" s="37" t="str">
        <f t="shared" si="1"/>
        <v>Zero</v>
      </c>
    </row>
    <row r="10" spans="1:10" ht="18" customHeight="1" x14ac:dyDescent="0.35">
      <c r="A10" s="37" t="str">
        <f>IFERROR(INDEX(TB_COA!$A$5:$A$49,ROW()-3),"")</f>
        <v>1-2100</v>
      </c>
      <c r="B10" s="37" t="str">
        <f>IF($A10="","",IFERROR(INDEX(TB_COA!$B$5:$B$49,MATCH($A10,TB_COA!$A$5:$A$49,0)),"ACCOUNT NOT FOUND"))</f>
        <v>AR - Local Clients / Agents</v>
      </c>
      <c r="C10" s="37" t="str">
        <f>IF($A10="","",IFERROR(INDEX(TB_COA!$C$5:$C$49,MATCH($A10,TB_COA!$A$5:$A$49,0)),"ACCOUNT NOT FOUND"))</f>
        <v>Asset</v>
      </c>
      <c r="D10" s="37">
        <f>IF($A10="","",SUMIFS(TB_General_Journal!$E:$E,TB_General_Journal!$C:$C,$A10))</f>
        <v>0</v>
      </c>
      <c r="E10" s="37">
        <f>IF($A10="","",SUMIFS(TB_General_Journal!$F:$F,TB_General_Journal!$C:$C,$A10))</f>
        <v>0</v>
      </c>
      <c r="F10" s="2">
        <v>0</v>
      </c>
      <c r="G10" s="37">
        <f t="shared" si="0"/>
        <v>0</v>
      </c>
      <c r="H10" s="37" t="str">
        <f t="shared" si="1"/>
        <v>Zero</v>
      </c>
    </row>
    <row r="11" spans="1:10" ht="18" customHeight="1" x14ac:dyDescent="0.35">
      <c r="A11" s="37" t="str">
        <f>IFERROR(INDEX(TB_COA!$A$5:$A$49,ROW()-3),"")</f>
        <v>1-2200</v>
      </c>
      <c r="B11" s="37" t="str">
        <f>IF($A11="","",IFERROR(INDEX(TB_COA!$B$5:$B$49,MATCH($A11,TB_COA!$A$5:$A$49,0)),"ACCOUNT NOT FOUND"))</f>
        <v>AR - Foreign Tour Operators (Control)</v>
      </c>
      <c r="C11" s="37" t="str">
        <f>IF($A11="","",IFERROR(INDEX(TB_COA!$C$5:$C$49,MATCH($A11,TB_COA!$A$5:$A$49,0)),"ACCOUNT NOT FOUND"))</f>
        <v>Asset</v>
      </c>
      <c r="D11" s="37">
        <f>IF($A11="","",SUMIFS(TB_General_Journal!$E:$E,TB_General_Journal!$C:$C,$A11))</f>
        <v>24271020.199999999</v>
      </c>
      <c r="E11" s="37">
        <f>IF($A11="","",SUMIFS(TB_General_Journal!$F:$F,TB_General_Journal!$C:$C,$A11))</f>
        <v>17529585.199999999</v>
      </c>
      <c r="F11" s="2">
        <v>0</v>
      </c>
      <c r="G11" s="37">
        <f t="shared" si="0"/>
        <v>6741435</v>
      </c>
      <c r="H11" s="37" t="str">
        <f t="shared" si="1"/>
        <v>Debit</v>
      </c>
    </row>
    <row r="12" spans="1:10" ht="18" customHeight="1" x14ac:dyDescent="0.35">
      <c r="A12" s="37" t="str">
        <f>IFERROR(INDEX(TB_COA!$A$5:$A$49,ROW()-3),"")</f>
        <v>1-3100</v>
      </c>
      <c r="B12" s="37" t="str">
        <f>IF($A12="","",IFERROR(INDEX(TB_COA!$B$5:$B$49,MATCH($A12,TB_COA!$A$5:$A$49,0)),"ACCOUNT NOT FOUND"))</f>
        <v>Advances to Hotels (Prepayments)</v>
      </c>
      <c r="C12" s="37" t="str">
        <f>IF($A12="","",IFERROR(INDEX(TB_COA!$C$5:$C$49,MATCH($A12,TB_COA!$A$5:$A$49,0)),"ACCOUNT NOT FOUND"))</f>
        <v>Asset</v>
      </c>
      <c r="D12" s="37">
        <f>IF($A12="","",SUMIFS(TB_General_Journal!$E:$E,TB_General_Journal!$C:$C,$A12))</f>
        <v>0</v>
      </c>
      <c r="E12" s="37">
        <f>IF($A12="","",SUMIFS(TB_General_Journal!$F:$F,TB_General_Journal!$C:$C,$A12))</f>
        <v>0</v>
      </c>
      <c r="F12" s="2">
        <v>0</v>
      </c>
      <c r="G12" s="37">
        <f t="shared" si="0"/>
        <v>0</v>
      </c>
      <c r="H12" s="37" t="str">
        <f t="shared" si="1"/>
        <v>Zero</v>
      </c>
    </row>
    <row r="13" spans="1:10" ht="18" customHeight="1" x14ac:dyDescent="0.35">
      <c r="A13" s="37" t="str">
        <f>IFERROR(INDEX(TB_COA!$A$5:$A$49,ROW()-3),"")</f>
        <v>1-3200</v>
      </c>
      <c r="B13" s="37" t="str">
        <f>IF($A13="","",IFERROR(INDEX(TB_COA!$B$5:$B$49,MATCH($A13,TB_COA!$A$5:$A$49,0)),"ACCOUNT NOT FOUND"))</f>
        <v>Accrued Revenue - Unbilled Services</v>
      </c>
      <c r="C13" s="37" t="str">
        <f>IF($A13="","",IFERROR(INDEX(TB_COA!$C$5:$C$49,MATCH($A13,TB_COA!$A$5:$A$49,0)),"ACCOUNT NOT FOUND"))</f>
        <v>Asset</v>
      </c>
      <c r="D13" s="37">
        <f>IF($A13="","",SUMIFS(TB_General_Journal!$E:$E,TB_General_Journal!$C:$C,$A13))</f>
        <v>0</v>
      </c>
      <c r="E13" s="37">
        <f>IF($A13="","",SUMIFS(TB_General_Journal!$F:$F,TB_General_Journal!$C:$C,$A13))</f>
        <v>0</v>
      </c>
      <c r="F13" s="2">
        <v>0</v>
      </c>
      <c r="G13" s="37">
        <f t="shared" si="0"/>
        <v>0</v>
      </c>
      <c r="H13" s="37" t="str">
        <f t="shared" si="1"/>
        <v>Zero</v>
      </c>
    </row>
    <row r="14" spans="1:10" ht="18" customHeight="1" x14ac:dyDescent="0.35">
      <c r="A14" s="37" t="str">
        <f>IFERROR(INDEX(TB_COA!$A$5:$A$49,ROW()-3),"")</f>
        <v>1-3300</v>
      </c>
      <c r="B14" s="37" t="str">
        <f>IF($A14="","",IFERROR(INDEX(TB_COA!$B$5:$B$49,MATCH($A14,TB_COA!$A$5:$A$49,0)),"ACCOUNT NOT FOUND"))</f>
        <v>Prepaid Excursion Costs (Allotments)</v>
      </c>
      <c r="C14" s="37" t="str">
        <f>IF($A14="","",IFERROR(INDEX(TB_COA!$C$5:$C$49,MATCH($A14,TB_COA!$A$5:$A$49,0)),"ACCOUNT NOT FOUND"))</f>
        <v>Asset</v>
      </c>
      <c r="D14" s="37">
        <f>IF($A14="","",SUMIFS(TB_General_Journal!$E:$E,TB_General_Journal!$C:$C,$A14))</f>
        <v>0</v>
      </c>
      <c r="E14" s="37">
        <f>IF($A14="","",SUMIFS(TB_General_Journal!$F:$F,TB_General_Journal!$C:$C,$A14))</f>
        <v>0</v>
      </c>
      <c r="F14" s="2">
        <v>0</v>
      </c>
      <c r="G14" s="37">
        <f t="shared" si="0"/>
        <v>0</v>
      </c>
      <c r="H14" s="37" t="str">
        <f t="shared" si="1"/>
        <v>Zero</v>
      </c>
    </row>
    <row r="15" spans="1:10" ht="18" customHeight="1" x14ac:dyDescent="0.35">
      <c r="A15" s="37" t="str">
        <f>IFERROR(INDEX(TB_COA!$A$5:$A$49,ROW()-3),"")</f>
        <v>1-3400</v>
      </c>
      <c r="B15" s="37" t="str">
        <f>IF($A15="","",IFERROR(INDEX(TB_COA!$B$5:$B$49,MATCH($A15,TB_COA!$A$5:$A$49,0)),"ACCOUNT NOT FOUND"))</f>
        <v>VAT Recoverable / Input VAT</v>
      </c>
      <c r="C15" s="37" t="str">
        <f>IF($A15="","",IFERROR(INDEX(TB_COA!$C$5:$C$49,MATCH($A15,TB_COA!$A$5:$A$49,0)),"ACCOUNT NOT FOUND"))</f>
        <v>Asset</v>
      </c>
      <c r="D15" s="37">
        <f>IF($A15="","",SUMIFS(TB_General_Journal!$E:$E,TB_General_Journal!$C:$C,$A15))</f>
        <v>2382593.733333332</v>
      </c>
      <c r="E15" s="37">
        <f>IF($A15="","",SUMIFS(TB_General_Journal!$F:$F,TB_General_Journal!$C:$C,$A15))</f>
        <v>0</v>
      </c>
      <c r="F15" s="2">
        <v>0</v>
      </c>
      <c r="G15" s="37">
        <f t="shared" si="0"/>
        <v>2382593.733333332</v>
      </c>
      <c r="H15" s="37" t="str">
        <f t="shared" si="1"/>
        <v>Debit</v>
      </c>
    </row>
    <row r="16" spans="1:10" ht="18" customHeight="1" x14ac:dyDescent="0.35">
      <c r="A16" s="37" t="str">
        <f>IFERROR(INDEX(TB_COA!$A$5:$A$49,ROW()-3),"")</f>
        <v>1-4100</v>
      </c>
      <c r="B16" s="37" t="str">
        <f>IF($A16="","",IFERROR(INDEX(TB_COA!$B$5:$B$49,MATCH($A16,TB_COA!$A$5:$A$49,0)),"ACCOUNT NOT FOUND"))</f>
        <v>Property, Plant &amp; Equipment</v>
      </c>
      <c r="C16" s="37" t="str">
        <f>IF($A16="","",IFERROR(INDEX(TB_COA!$C$5:$C$49,MATCH($A16,TB_COA!$A$5:$A$49,0)),"ACCOUNT NOT FOUND"))</f>
        <v>Asset</v>
      </c>
      <c r="D16" s="37">
        <f>IF($A16="","",SUMIFS(TB_General_Journal!$E:$E,TB_General_Journal!$C:$C,$A16))</f>
        <v>0</v>
      </c>
      <c r="E16" s="37">
        <f>IF($A16="","",SUMIFS(TB_General_Journal!$F:$F,TB_General_Journal!$C:$C,$A16))</f>
        <v>0</v>
      </c>
      <c r="F16" s="2">
        <v>0</v>
      </c>
      <c r="G16" s="37">
        <f t="shared" si="0"/>
        <v>0</v>
      </c>
      <c r="H16" s="37" t="str">
        <f t="shared" si="1"/>
        <v>Zero</v>
      </c>
    </row>
    <row r="17" spans="1:8" ht="18" customHeight="1" x14ac:dyDescent="0.35">
      <c r="A17" s="37" t="str">
        <f>IFERROR(INDEX(TB_COA!$A$5:$A$49,ROW()-3),"")</f>
        <v>1-4200</v>
      </c>
      <c r="B17" s="37" t="str">
        <f>IF($A17="","",IFERROR(INDEX(TB_COA!$B$5:$B$49,MATCH($A17,TB_COA!$A$5:$A$49,0)),"ACCOUNT NOT FOUND"))</f>
        <v>Right-of-Use Assets (IFRS 16)</v>
      </c>
      <c r="C17" s="37" t="str">
        <f>IF($A17="","",IFERROR(INDEX(TB_COA!$C$5:$C$49,MATCH($A17,TB_COA!$A$5:$A$49,0)),"ACCOUNT NOT FOUND"))</f>
        <v>Asset</v>
      </c>
      <c r="D17" s="37">
        <f>IF($A17="","",SUMIFS(TB_General_Journal!$E:$E,TB_General_Journal!$C:$C,$A17))</f>
        <v>0</v>
      </c>
      <c r="E17" s="37">
        <f>IF($A17="","",SUMIFS(TB_General_Journal!$F:$F,TB_General_Journal!$C:$C,$A17))</f>
        <v>0</v>
      </c>
      <c r="F17" s="2">
        <v>0</v>
      </c>
      <c r="G17" s="37">
        <f t="shared" si="0"/>
        <v>0</v>
      </c>
      <c r="H17" s="37" t="str">
        <f t="shared" si="1"/>
        <v>Zero</v>
      </c>
    </row>
    <row r="18" spans="1:8" ht="18" customHeight="1" x14ac:dyDescent="0.35">
      <c r="A18" s="37" t="str">
        <f>IFERROR(INDEX(TB_COA!$A$5:$A$49,ROW()-3),"")</f>
        <v>2-1100</v>
      </c>
      <c r="B18" s="37" t="str">
        <f>IF($A18="","",IFERROR(INDEX(TB_COA!$B$5:$B$49,MATCH($A18,TB_COA!$A$5:$A$49,0)),"ACCOUNT NOT FOUND"))</f>
        <v>AP - Local Hotels &amp; Suppliers</v>
      </c>
      <c r="C18" s="37" t="str">
        <f>IF($A18="","",IFERROR(INDEX(TB_COA!$C$5:$C$49,MATCH($A18,TB_COA!$A$5:$A$49,0)),"ACCOUNT NOT FOUND"))</f>
        <v>Liability</v>
      </c>
      <c r="D18" s="37">
        <f>IF($A18="","",SUMIFS(TB_General_Journal!$E:$E,TB_General_Journal!$C:$C,$A18))</f>
        <v>0</v>
      </c>
      <c r="E18" s="37">
        <f>IF($A18="","",SUMIFS(TB_General_Journal!$F:$F,TB_General_Journal!$C:$C,$A18))</f>
        <v>0</v>
      </c>
      <c r="F18" s="2">
        <v>0</v>
      </c>
      <c r="G18" s="37">
        <f t="shared" si="0"/>
        <v>0</v>
      </c>
      <c r="H18" s="37" t="str">
        <f t="shared" si="1"/>
        <v>Zero</v>
      </c>
    </row>
    <row r="19" spans="1:8" ht="18" customHeight="1" x14ac:dyDescent="0.35">
      <c r="A19" s="37" t="str">
        <f>IFERROR(INDEX(TB_COA!$A$5:$A$49,ROW()-3),"")</f>
        <v>2-1200</v>
      </c>
      <c r="B19" s="37" t="str">
        <f>IF($A19="","",IFERROR(INDEX(TB_COA!$B$5:$B$49,MATCH($A19,TB_COA!$A$5:$A$49,0)),"ACCOUNT NOT FOUND"))</f>
        <v>AP - Foreign Hotels &amp; Suppliers</v>
      </c>
      <c r="C19" s="37" t="str">
        <f>IF($A19="","",IFERROR(INDEX(TB_COA!$C$5:$C$49,MATCH($A19,TB_COA!$A$5:$A$49,0)),"ACCOUNT NOT FOUND"))</f>
        <v>Liability</v>
      </c>
      <c r="D19" s="37">
        <f>IF($A19="","",SUMIFS(TB_General_Journal!$E:$E,TB_General_Journal!$C:$C,$A19))</f>
        <v>19401120.399999999</v>
      </c>
      <c r="E19" s="37">
        <f>IF($A19="","",SUMIFS(TB_General_Journal!$F:$F,TB_General_Journal!$C:$C,$A19))</f>
        <v>19401120.399999999</v>
      </c>
      <c r="F19" s="2">
        <v>0</v>
      </c>
      <c r="G19" s="37">
        <f t="shared" si="0"/>
        <v>0</v>
      </c>
      <c r="H19" s="37" t="str">
        <f t="shared" si="1"/>
        <v>Zero</v>
      </c>
    </row>
    <row r="20" spans="1:8" ht="18" customHeight="1" x14ac:dyDescent="0.35">
      <c r="A20" s="37" t="str">
        <f>IFERROR(INDEX(TB_COA!$A$5:$A$49,ROW()-3),"")</f>
        <v>2-1500</v>
      </c>
      <c r="B20" s="37" t="str">
        <f>IF($A20="","",IFERROR(INDEX(TB_COA!$B$5:$B$49,MATCH($A20,TB_COA!$A$5:$A$49,0)),"ACCOUNT NOT FOUND"))</f>
        <v>Excursion Deposits Received (Client)</v>
      </c>
      <c r="C20" s="37" t="str">
        <f>IF($A20="","",IFERROR(INDEX(TB_COA!$C$5:$C$49,MATCH($A20,TB_COA!$A$5:$A$49,0)),"ACCOUNT NOT FOUND"))</f>
        <v>Liability</v>
      </c>
      <c r="D20" s="37">
        <f>IF($A20="","",SUMIFS(TB_General_Journal!$E:$E,TB_General_Journal!$C:$C,$A20))</f>
        <v>0</v>
      </c>
      <c r="E20" s="37">
        <f>IF($A20="","",SUMIFS(TB_General_Journal!$F:$F,TB_General_Journal!$C:$C,$A20))</f>
        <v>0</v>
      </c>
      <c r="F20" s="2">
        <v>0</v>
      </c>
      <c r="G20" s="37">
        <f t="shared" si="0"/>
        <v>0</v>
      </c>
      <c r="H20" s="37" t="str">
        <f t="shared" si="1"/>
        <v>Zero</v>
      </c>
    </row>
    <row r="21" spans="1:8" ht="18" customHeight="1" x14ac:dyDescent="0.35">
      <c r="A21" s="37" t="str">
        <f>IFERROR(INDEX(TB_COA!$A$5:$A$49,ROW()-3),"")</f>
        <v>2-2100</v>
      </c>
      <c r="B21" s="37" t="str">
        <f>IF($A21="","",IFERROR(INDEX(TB_COA!$B$5:$B$49,MATCH($A21,TB_COA!$A$5:$A$49,0)),"ACCOUNT NOT FOUND"))</f>
        <v>Client Deposits / Down Payments</v>
      </c>
      <c r="C21" s="37" t="str">
        <f>IF($A21="","",IFERROR(INDEX(TB_COA!$C$5:$C$49,MATCH($A21,TB_COA!$A$5:$A$49,0)),"ACCOUNT NOT FOUND"))</f>
        <v>Liability</v>
      </c>
      <c r="D21" s="37">
        <f>IF($A21="","",SUMIFS(TB_General_Journal!$E:$E,TB_General_Journal!$C:$C,$A21))</f>
        <v>0</v>
      </c>
      <c r="E21" s="37">
        <f>IF($A21="","",SUMIFS(TB_General_Journal!$F:$F,TB_General_Journal!$C:$C,$A21))</f>
        <v>0</v>
      </c>
      <c r="F21" s="2">
        <v>0</v>
      </c>
      <c r="G21" s="37">
        <f t="shared" si="0"/>
        <v>0</v>
      </c>
      <c r="H21" s="37" t="str">
        <f t="shared" si="1"/>
        <v>Zero</v>
      </c>
    </row>
    <row r="22" spans="1:8" ht="18" customHeight="1" x14ac:dyDescent="0.35">
      <c r="A22" s="37" t="str">
        <f>IFERROR(INDEX(TB_COA!$A$5:$A$49,ROW()-3),"")</f>
        <v>2-2200</v>
      </c>
      <c r="B22" s="37" t="str">
        <f>IF($A22="","",IFERROR(INDEX(TB_COA!$B$5:$B$49,MATCH($A22,TB_COA!$A$5:$A$49,0)),"ACCOUNT NOT FOUND"))</f>
        <v>Deferred Revenue - Future Bookings</v>
      </c>
      <c r="C22" s="37" t="str">
        <f>IF($A22="","",IFERROR(INDEX(TB_COA!$C$5:$C$49,MATCH($A22,TB_COA!$A$5:$A$49,0)),"ACCOUNT NOT FOUND"))</f>
        <v>Liability</v>
      </c>
      <c r="D22" s="37">
        <f>IF($A22="","",SUMIFS(TB_General_Journal!$E:$E,TB_General_Journal!$C:$C,$A22))</f>
        <v>0</v>
      </c>
      <c r="E22" s="37">
        <f>IF($A22="","",SUMIFS(TB_General_Journal!$F:$F,TB_General_Journal!$C:$C,$A22))</f>
        <v>0</v>
      </c>
      <c r="F22" s="2">
        <v>0</v>
      </c>
      <c r="G22" s="37">
        <f t="shared" si="0"/>
        <v>0</v>
      </c>
      <c r="H22" s="37" t="str">
        <f t="shared" si="1"/>
        <v>Zero</v>
      </c>
    </row>
    <row r="23" spans="1:8" ht="18" customHeight="1" x14ac:dyDescent="0.35">
      <c r="A23" s="37" t="str">
        <f>IFERROR(INDEX(TB_COA!$A$5:$A$49,ROW()-3),"")</f>
        <v>2-2300</v>
      </c>
      <c r="B23" s="37" t="str">
        <f>IF($A23="","",IFERROR(INDEX(TB_COA!$B$5:$B$49,MATCH($A23,TB_COA!$A$5:$A$49,0)),"ACCOUNT NOT FOUND"))</f>
        <v>Agent Commissions Payable</v>
      </c>
      <c r="C23" s="37" t="str">
        <f>IF($A23="","",IFERROR(INDEX(TB_COA!$C$5:$C$49,MATCH($A23,TB_COA!$A$5:$A$49,0)),"ACCOUNT NOT FOUND"))</f>
        <v>Liability</v>
      </c>
      <c r="D23" s="37">
        <f>IF($A23="","",SUMIFS(TB_General_Journal!$E:$E,TB_General_Journal!$C:$C,$A23))</f>
        <v>0</v>
      </c>
      <c r="E23" s="37">
        <f>IF($A23="","",SUMIFS(TB_General_Journal!$F:$F,TB_General_Journal!$C:$C,$A23))</f>
        <v>4727.33</v>
      </c>
      <c r="F23" s="2">
        <v>0</v>
      </c>
      <c r="G23" s="37">
        <f t="shared" si="0"/>
        <v>-4727.33</v>
      </c>
      <c r="H23" s="37" t="str">
        <f t="shared" si="1"/>
        <v>Credit</v>
      </c>
    </row>
    <row r="24" spans="1:8" ht="18" customHeight="1" x14ac:dyDescent="0.35">
      <c r="A24" s="37" t="str">
        <f>IFERROR(INDEX(TB_COA!$A$5:$A$49,ROW()-3),"")</f>
        <v>2-3100</v>
      </c>
      <c r="B24" s="37" t="str">
        <f>IF($A24="","",IFERROR(INDEX(TB_COA!$B$5:$B$49,MATCH($A24,TB_COA!$A$5:$A$49,0)),"ACCOUNT NOT FOUND"))</f>
        <v>Output VAT Payable (14%)</v>
      </c>
      <c r="C24" s="37" t="str">
        <f>IF($A24="","",IFERROR(INDEX(TB_COA!$C$5:$C$49,MATCH($A24,TB_COA!$A$5:$A$49,0)),"ACCOUNT NOT FOUND"))</f>
        <v>Liability</v>
      </c>
      <c r="D24" s="37">
        <f>IF($A24="","",SUMIFS(TB_General_Journal!$E:$E,TB_General_Journal!$C:$C,$A24))</f>
        <v>0</v>
      </c>
      <c r="E24" s="37">
        <f>IF($A24="","",SUMIFS(TB_General_Journal!$F:$F,TB_General_Journal!$C:$C,$A24))</f>
        <v>2980651.6035087695</v>
      </c>
      <c r="F24" s="2">
        <v>0</v>
      </c>
      <c r="G24" s="37">
        <f t="shared" si="0"/>
        <v>-2980651.6035087695</v>
      </c>
      <c r="H24" s="37" t="str">
        <f t="shared" si="1"/>
        <v>Credit</v>
      </c>
    </row>
    <row r="25" spans="1:8" ht="18" customHeight="1" x14ac:dyDescent="0.35">
      <c r="A25" s="37" t="str">
        <f>IFERROR(INDEX(TB_COA!$A$5:$A$49,ROW()-3),"")</f>
        <v>2-3200</v>
      </c>
      <c r="B25" s="37" t="str">
        <f>IF($A25="","",IFERROR(INDEX(TB_COA!$B$5:$B$49,MATCH($A25,TB_COA!$A$5:$A$49,0)),"ACCOUNT NOT FOUND"))</f>
        <v>Withholding Tax Payable</v>
      </c>
      <c r="C25" s="37" t="str">
        <f>IF($A25="","",IFERROR(INDEX(TB_COA!$C$5:$C$49,MATCH($A25,TB_COA!$A$5:$A$49,0)),"ACCOUNT NOT FOUND"))</f>
        <v>Liability</v>
      </c>
      <c r="D25" s="37">
        <f>IF($A25="","",SUMIFS(TB_General_Journal!$E:$E,TB_General_Journal!$C:$C,$A25))</f>
        <v>646747.21</v>
      </c>
      <c r="E25" s="37">
        <f>IF($A25="","",SUMIFS(TB_General_Journal!$F:$F,TB_General_Journal!$C:$C,$A25))</f>
        <v>510555.8</v>
      </c>
      <c r="F25" s="2">
        <v>0</v>
      </c>
      <c r="G25" s="37">
        <f t="shared" si="0"/>
        <v>136191.40999999997</v>
      </c>
      <c r="H25" s="37" t="str">
        <f t="shared" si="1"/>
        <v>Debit</v>
      </c>
    </row>
    <row r="26" spans="1:8" ht="18" customHeight="1" x14ac:dyDescent="0.35">
      <c r="A26" s="37" t="str">
        <f>IFERROR(INDEX(TB_COA!$A$5:$A$49,ROW()-3),"")</f>
        <v>2-2110</v>
      </c>
      <c r="B26" s="37" t="str">
        <f>IF($A26="","",IFERROR(INDEX(TB_COA!$B$5:$B$49,MATCH($A26,TB_COA!$A$5:$A$49,0)),"ACCOUNT NOT FOUND"))</f>
        <v>ETA E-Invoice Clearing Account</v>
      </c>
      <c r="C26" s="37" t="str">
        <f>IF($A26="","",IFERROR(INDEX(TB_COA!$C$5:$C$49,MATCH($A26,TB_COA!$A$5:$A$49,0)),"ACCOUNT NOT FOUND"))</f>
        <v>Liability</v>
      </c>
      <c r="D26" s="37">
        <f>IF($A26="","",SUMIFS(TB_General_Journal!$E:$E,TB_General_Journal!$C:$C,$A26))</f>
        <v>0</v>
      </c>
      <c r="E26" s="37">
        <f>IF($A26="","",SUMIFS(TB_General_Journal!$F:$F,TB_General_Journal!$C:$C,$A26))</f>
        <v>0</v>
      </c>
      <c r="F26" s="2">
        <v>0</v>
      </c>
      <c r="G26" s="37">
        <f t="shared" si="0"/>
        <v>0</v>
      </c>
      <c r="H26" s="37" t="str">
        <f t="shared" si="1"/>
        <v>Zero</v>
      </c>
    </row>
    <row r="27" spans="1:8" ht="18" customHeight="1" x14ac:dyDescent="0.35">
      <c r="A27" s="37" t="str">
        <f>IFERROR(INDEX(TB_COA!$A$5:$A$49,ROW()-3),"")</f>
        <v>3-0000</v>
      </c>
      <c r="B27" s="37" t="str">
        <f>IF($A27="","",IFERROR(INDEX(TB_COA!$B$5:$B$49,MATCH($A27,TB_COA!$A$5:$A$49,0)),"ACCOUNT NOT FOUND"))</f>
        <v>Share Capital &amp; Reserves</v>
      </c>
      <c r="C27" s="37" t="str">
        <f>IF($A27="","",IFERROR(INDEX(TB_COA!$C$5:$C$49,MATCH($A27,TB_COA!$A$5:$A$49,0)),"ACCOUNT NOT FOUND"))</f>
        <v>Equity</v>
      </c>
      <c r="D27" s="37">
        <f>IF($A27="","",SUMIFS(TB_General_Journal!$E:$E,TB_General_Journal!$C:$C,$A27))</f>
        <v>0</v>
      </c>
      <c r="E27" s="37">
        <f>IF($A27="","",SUMIFS(TB_General_Journal!$F:$F,TB_General_Journal!$C:$C,$A27))</f>
        <v>0</v>
      </c>
      <c r="F27" s="2">
        <v>0</v>
      </c>
      <c r="G27" s="37">
        <f t="shared" si="0"/>
        <v>0</v>
      </c>
      <c r="H27" s="37" t="str">
        <f t="shared" si="1"/>
        <v>Zero</v>
      </c>
    </row>
    <row r="28" spans="1:8" ht="18" customHeight="1" x14ac:dyDescent="0.35">
      <c r="A28" s="37" t="str">
        <f>IFERROR(INDEX(TB_COA!$A$5:$A$49,ROW()-3),"")</f>
        <v>4-1000</v>
      </c>
      <c r="B28" s="37" t="str">
        <f>IF($A28="","",IFERROR(INDEX(TB_COA!$B$5:$B$49,MATCH($A28,TB_COA!$A$5:$A$49,0)),"ACCOUNT NOT FOUND"))</f>
        <v>Revenue - Accommodation (Hotels)</v>
      </c>
      <c r="C28" s="37" t="str">
        <f>IF($A28="","",IFERROR(INDEX(TB_COA!$C$5:$C$49,MATCH($A28,TB_COA!$A$5:$A$49,0)),"ACCOUNT NOT FOUND"))</f>
        <v>Revenue</v>
      </c>
      <c r="D28" s="37">
        <f>IF($A28="","",SUMIFS(TB_General_Journal!$E:$E,TB_General_Journal!$C:$C,$A28))</f>
        <v>0</v>
      </c>
      <c r="E28" s="37">
        <f>IF($A28="","",SUMIFS(TB_General_Journal!$F:$F,TB_General_Journal!$C:$C,$A28))</f>
        <v>0</v>
      </c>
      <c r="F28" s="2">
        <v>0</v>
      </c>
      <c r="G28" s="37">
        <f t="shared" si="0"/>
        <v>0</v>
      </c>
      <c r="H28" s="37" t="str">
        <f t="shared" si="1"/>
        <v>Zero</v>
      </c>
    </row>
    <row r="29" spans="1:8" ht="18" customHeight="1" x14ac:dyDescent="0.35">
      <c r="A29" s="37" t="str">
        <f>IFERROR(INDEX(TB_COA!$A$5:$A$49,ROW()-3),"")</f>
        <v>4-2000</v>
      </c>
      <c r="B29" s="37" t="str">
        <f>IF($A29="","",IFERROR(INDEX(TB_COA!$B$5:$B$49,MATCH($A29,TB_COA!$A$5:$A$49,0)),"ACCOUNT NOT FOUND"))</f>
        <v>Revenue - Package Tours</v>
      </c>
      <c r="C29" s="37" t="str">
        <f>IF($A29="","",IFERROR(INDEX(TB_COA!$C$5:$C$49,MATCH($A29,TB_COA!$A$5:$A$49,0)),"ACCOUNT NOT FOUND"))</f>
        <v>Revenue</v>
      </c>
      <c r="D29" s="37">
        <f>IF($A29="","",SUMIFS(TB_General_Journal!$E:$E,TB_General_Journal!$C:$C,$A29))</f>
        <v>0</v>
      </c>
      <c r="E29" s="37">
        <f>IF($A29="","",SUMIFS(TB_General_Journal!$F:$F,TB_General_Journal!$C:$C,$A29))</f>
        <v>21290368.596491229</v>
      </c>
      <c r="F29" s="2">
        <v>0</v>
      </c>
      <c r="G29" s="37">
        <f t="shared" si="0"/>
        <v>-21290368.596491229</v>
      </c>
      <c r="H29" s="37" t="str">
        <f t="shared" si="1"/>
        <v>Credit</v>
      </c>
    </row>
    <row r="30" spans="1:8" ht="18" customHeight="1" x14ac:dyDescent="0.35">
      <c r="A30" s="37" t="str">
        <f>IFERROR(INDEX(TB_COA!$A$5:$A$49,ROW()-3),"")</f>
        <v>4-3000</v>
      </c>
      <c r="B30" s="37" t="str">
        <f>IF($A30="","",IFERROR(INDEX(TB_COA!$B$5:$B$49,MATCH($A30,TB_COA!$A$5:$A$49,0)),"ACCOUNT NOT FOUND"))</f>
        <v>Revenue - Transportation</v>
      </c>
      <c r="C30" s="37" t="str">
        <f>IF($A30="","",IFERROR(INDEX(TB_COA!$C$5:$C$49,MATCH($A30,TB_COA!$A$5:$A$49,0)),"ACCOUNT NOT FOUND"))</f>
        <v>Revenue</v>
      </c>
      <c r="D30" s="37">
        <f>IF($A30="","",SUMIFS(TB_General_Journal!$E:$E,TB_General_Journal!$C:$C,$A30))</f>
        <v>0</v>
      </c>
      <c r="E30" s="37">
        <f>IF($A30="","",SUMIFS(TB_General_Journal!$F:$F,TB_General_Journal!$C:$C,$A30))</f>
        <v>0</v>
      </c>
      <c r="F30" s="2">
        <v>0</v>
      </c>
      <c r="G30" s="37">
        <f t="shared" si="0"/>
        <v>0</v>
      </c>
      <c r="H30" s="37" t="str">
        <f t="shared" si="1"/>
        <v>Zero</v>
      </c>
    </row>
    <row r="31" spans="1:8" ht="18" customHeight="1" x14ac:dyDescent="0.35">
      <c r="A31" s="37" t="str">
        <f>IFERROR(INDEX(TB_COA!$A$5:$A$49,ROW()-3),"")</f>
        <v>4-4000</v>
      </c>
      <c r="B31" s="37" t="str">
        <f>IF($A31="","",IFERROR(INDEX(TB_COA!$B$5:$B$49,MATCH($A31,TB_COA!$A$5:$A$49,0)),"ACCOUNT NOT FOUND"))</f>
        <v>Revenue - Ancillary Services</v>
      </c>
      <c r="C31" s="37" t="str">
        <f>IF($A31="","",IFERROR(INDEX(TB_COA!$C$5:$C$49,MATCH($A31,TB_COA!$A$5:$A$49,0)),"ACCOUNT NOT FOUND"))</f>
        <v>Revenue</v>
      </c>
      <c r="D31" s="37">
        <f>IF($A31="","",SUMIFS(TB_General_Journal!$E:$E,TB_General_Journal!$C:$C,$A31))</f>
        <v>0</v>
      </c>
      <c r="E31" s="37">
        <f>IF($A31="","",SUMIFS(TB_General_Journal!$F:$F,TB_General_Journal!$C:$C,$A31))</f>
        <v>0</v>
      </c>
      <c r="F31" s="2">
        <v>0</v>
      </c>
      <c r="G31" s="37">
        <f t="shared" si="0"/>
        <v>0</v>
      </c>
      <c r="H31" s="37" t="str">
        <f t="shared" si="1"/>
        <v>Zero</v>
      </c>
    </row>
    <row r="32" spans="1:8" ht="18" customHeight="1" x14ac:dyDescent="0.35">
      <c r="A32" s="37" t="str">
        <f>IFERROR(INDEX(TB_COA!$A$5:$A$49,ROW()-3),"")</f>
        <v>4-5100</v>
      </c>
      <c r="B32" s="37" t="str">
        <f>IF($A32="","",IFERROR(INDEX(TB_COA!$B$5:$B$49,MATCH($A32,TB_COA!$A$5:$A$49,0)),"ACCOUNT NOT FOUND"))</f>
        <v>Revenue - Optional Excursions</v>
      </c>
      <c r="C32" s="37" t="str">
        <f>IF($A32="","",IFERROR(INDEX(TB_COA!$C$5:$C$49,MATCH($A32,TB_COA!$A$5:$A$49,0)),"ACCOUNT NOT FOUND"))</f>
        <v>Revenue</v>
      </c>
      <c r="D32" s="37">
        <f>IF($A32="","",SUMIFS(TB_General_Journal!$E:$E,TB_General_Journal!$C:$C,$A32))</f>
        <v>0</v>
      </c>
      <c r="E32" s="37">
        <f>IF($A32="","",SUMIFS(TB_General_Journal!$F:$F,TB_General_Journal!$C:$C,$A32))</f>
        <v>44642.95</v>
      </c>
      <c r="F32" s="2">
        <v>0</v>
      </c>
      <c r="G32" s="37">
        <f t="shared" si="0"/>
        <v>-44642.95</v>
      </c>
      <c r="H32" s="37" t="str">
        <f t="shared" si="1"/>
        <v>Credit</v>
      </c>
    </row>
    <row r="33" spans="1:8" ht="18" customHeight="1" x14ac:dyDescent="0.35">
      <c r="A33" s="37" t="str">
        <f>IFERROR(INDEX(TB_COA!$A$5:$A$49,ROW()-3),"")</f>
        <v>4-5900</v>
      </c>
      <c r="B33" s="37" t="str">
        <f>IF($A33="","",IFERROR(INDEX(TB_COA!$B$5:$B$49,MATCH($A33,TB_COA!$A$5:$A$49,0)),"ACCOUNT NOT FOUND"))</f>
        <v>Excursion Discounts (Contra)</v>
      </c>
      <c r="C33" s="37" t="str">
        <f>IF($A33="","",IFERROR(INDEX(TB_COA!$C$5:$C$49,MATCH($A33,TB_COA!$A$5:$A$49,0)),"ACCOUNT NOT FOUND"))</f>
        <v>Revenue</v>
      </c>
      <c r="D33" s="37">
        <f>IF($A33="","",SUMIFS(TB_General_Journal!$E:$E,TB_General_Journal!$C:$C,$A33))</f>
        <v>0</v>
      </c>
      <c r="E33" s="37">
        <f>IF($A33="","",SUMIFS(TB_General_Journal!$F:$F,TB_General_Journal!$C:$C,$A33))</f>
        <v>0</v>
      </c>
      <c r="F33" s="2">
        <v>0</v>
      </c>
      <c r="G33" s="37">
        <f t="shared" si="0"/>
        <v>0</v>
      </c>
      <c r="H33" s="37" t="str">
        <f t="shared" si="1"/>
        <v>Zero</v>
      </c>
    </row>
    <row r="34" spans="1:8" ht="18" customHeight="1" x14ac:dyDescent="0.35">
      <c r="A34" s="37" t="str">
        <f>IFERROR(INDEX(TB_COA!$A$5:$A$49,ROW()-3),"")</f>
        <v>5-1000</v>
      </c>
      <c r="B34" s="37" t="str">
        <f>IF($A34="","",IFERROR(INDEX(TB_COA!$B$5:$B$49,MATCH($A34,TB_COA!$A$5:$A$49,0)),"ACCOUNT NOT FOUND"))</f>
        <v>COGS - Hotel Accommodation</v>
      </c>
      <c r="C34" s="37" t="str">
        <f>IF($A34="","",IFERROR(INDEX(TB_COA!$C$5:$C$49,MATCH($A34,TB_COA!$A$5:$A$49,0)),"ACCOUNT NOT FOUND"))</f>
        <v>Expense</v>
      </c>
      <c r="D34" s="37">
        <f>IF($A34="","",SUMIFS(TB_General_Journal!$E:$E,TB_General_Journal!$C:$C,$A34))</f>
        <v>0</v>
      </c>
      <c r="E34" s="37">
        <f>IF($A34="","",SUMIFS(TB_General_Journal!$F:$F,TB_General_Journal!$C:$C,$A34))</f>
        <v>0</v>
      </c>
      <c r="F34" s="2">
        <v>0</v>
      </c>
      <c r="G34" s="37">
        <f t="shared" si="0"/>
        <v>0</v>
      </c>
      <c r="H34" s="37" t="str">
        <f t="shared" si="1"/>
        <v>Zero</v>
      </c>
    </row>
    <row r="35" spans="1:8" ht="18" customHeight="1" x14ac:dyDescent="0.35">
      <c r="A35" s="37" t="str">
        <f>IFERROR(INDEX(TB_COA!$A$5:$A$49,ROW()-3),"")</f>
        <v>5-2000</v>
      </c>
      <c r="B35" s="37" t="str">
        <f>IF($A35="","",IFERROR(INDEX(TB_COA!$B$5:$B$49,MATCH($A35,TB_COA!$A$5:$A$49,0)),"ACCOUNT NOT FOUND"))</f>
        <v>COGS - Package Tours</v>
      </c>
      <c r="C35" s="37" t="str">
        <f>IF($A35="","",IFERROR(INDEX(TB_COA!$C$5:$C$49,MATCH($A35,TB_COA!$A$5:$A$49,0)),"ACCOUNT NOT FOUND"))</f>
        <v>Expense</v>
      </c>
      <c r="D35" s="37">
        <f>IF($A35="","",SUMIFS(TB_General_Journal!$E:$E,TB_General_Journal!$C:$C,$A35))</f>
        <v>17018526.666666668</v>
      </c>
      <c r="E35" s="37">
        <f>IF($A35="","",SUMIFS(TB_General_Journal!$F:$F,TB_General_Journal!$C:$C,$A35))</f>
        <v>0</v>
      </c>
      <c r="F35" s="2">
        <v>0</v>
      </c>
      <c r="G35" s="37">
        <f t="shared" si="0"/>
        <v>17018526.666666668</v>
      </c>
      <c r="H35" s="37" t="str">
        <f t="shared" si="1"/>
        <v>Debit</v>
      </c>
    </row>
    <row r="36" spans="1:8" ht="18" customHeight="1" x14ac:dyDescent="0.35">
      <c r="A36" s="37" t="str">
        <f>IFERROR(INDEX(TB_COA!$A$5:$A$49,ROW()-3),"")</f>
        <v>5-3000</v>
      </c>
      <c r="B36" s="37" t="str">
        <f>IF($A36="","",IFERROR(INDEX(TB_COA!$B$5:$B$49,MATCH($A36,TB_COA!$A$5:$A$49,0)),"ACCOUNT NOT FOUND"))</f>
        <v>COGS - Transportation</v>
      </c>
      <c r="C36" s="37" t="str">
        <f>IF($A36="","",IFERROR(INDEX(TB_COA!$C$5:$C$49,MATCH($A36,TB_COA!$A$5:$A$49,0)),"ACCOUNT NOT FOUND"))</f>
        <v>Expense</v>
      </c>
      <c r="D36" s="37">
        <f>IF($A36="","",SUMIFS(TB_General_Journal!$E:$E,TB_General_Journal!$C:$C,$A36))</f>
        <v>0</v>
      </c>
      <c r="E36" s="37">
        <f>IF($A36="","",SUMIFS(TB_General_Journal!$F:$F,TB_General_Journal!$C:$C,$A36))</f>
        <v>0</v>
      </c>
      <c r="F36" s="2">
        <v>0</v>
      </c>
      <c r="G36" s="37">
        <f t="shared" si="0"/>
        <v>0</v>
      </c>
      <c r="H36" s="37" t="str">
        <f t="shared" si="1"/>
        <v>Zero</v>
      </c>
    </row>
    <row r="37" spans="1:8" ht="18" customHeight="1" x14ac:dyDescent="0.35">
      <c r="A37" s="37" t="str">
        <f>IFERROR(INDEX(TB_COA!$A$5:$A$49,ROW()-3),"")</f>
        <v>5-5100</v>
      </c>
      <c r="B37" s="37" t="str">
        <f>IF($A37="","",IFERROR(INDEX(TB_COA!$B$5:$B$49,MATCH($A37,TB_COA!$A$5:$A$49,0)),"ACCOUNT NOT FOUND"))</f>
        <v>COGS - Excursion Supplier Cost</v>
      </c>
      <c r="C37" s="37" t="str">
        <f>IF($A37="","",IFERROR(INDEX(TB_COA!$C$5:$C$49,MATCH($A37,TB_COA!$A$5:$A$49,0)),"ACCOUNT NOT FOUND"))</f>
        <v>Expense</v>
      </c>
      <c r="D37" s="37">
        <f>IF($A37="","",SUMIFS(TB_General_Journal!$E:$E,TB_General_Journal!$C:$C,$A37))</f>
        <v>0</v>
      </c>
      <c r="E37" s="37">
        <f>IF($A37="","",SUMIFS(TB_General_Journal!$F:$F,TB_General_Journal!$C:$C,$A37))</f>
        <v>0</v>
      </c>
      <c r="F37" s="2">
        <v>0</v>
      </c>
      <c r="G37" s="37">
        <f t="shared" si="0"/>
        <v>0</v>
      </c>
      <c r="H37" s="37" t="str">
        <f t="shared" si="1"/>
        <v>Zero</v>
      </c>
    </row>
    <row r="38" spans="1:8" ht="18" customHeight="1" x14ac:dyDescent="0.35">
      <c r="A38" s="37" t="str">
        <f>IFERROR(INDEX(TB_COA!$A$5:$A$49,ROW()-3),"")</f>
        <v>5-5200</v>
      </c>
      <c r="B38" s="37" t="str">
        <f>IF($A38="","",IFERROR(INDEX(TB_COA!$B$5:$B$49,MATCH($A38,TB_COA!$A$5:$A$49,0)),"ACCOUNT NOT FOUND"))</f>
        <v>COGS - Excursion Variable Costs</v>
      </c>
      <c r="C38" s="37" t="str">
        <f>IF($A38="","",IFERROR(INDEX(TB_COA!$C$5:$C$49,MATCH($A38,TB_COA!$A$5:$A$49,0)),"ACCOUNT NOT FOUND"))</f>
        <v>Expense</v>
      </c>
      <c r="D38" s="37">
        <f>IF($A38="","",SUMIFS(TB_General_Journal!$E:$E,TB_General_Journal!$C:$C,$A38))</f>
        <v>0</v>
      </c>
      <c r="E38" s="37">
        <f>IF($A38="","",SUMIFS(TB_General_Journal!$F:$F,TB_General_Journal!$C:$C,$A38))</f>
        <v>0</v>
      </c>
      <c r="F38" s="2">
        <v>0</v>
      </c>
      <c r="G38" s="37">
        <f t="shared" si="0"/>
        <v>0</v>
      </c>
      <c r="H38" s="37" t="str">
        <f t="shared" si="1"/>
        <v>Zero</v>
      </c>
    </row>
    <row r="39" spans="1:8" ht="18" customHeight="1" x14ac:dyDescent="0.35">
      <c r="A39" s="37" t="str">
        <f>IFERROR(INDEX(TB_COA!$A$5:$A$49,ROW()-3),"")</f>
        <v>5-5900</v>
      </c>
      <c r="B39" s="37" t="str">
        <f>IF($A39="","",IFERROR(INDEX(TB_COA!$B$5:$B$49,MATCH($A39,TB_COA!$A$5:$A$49,0)),"ACCOUNT NOT FOUND"))</f>
        <v>COGS - Excursion Rep Commission</v>
      </c>
      <c r="C39" s="37" t="str">
        <f>IF($A39="","",IFERROR(INDEX(TB_COA!$C$5:$C$49,MATCH($A39,TB_COA!$A$5:$A$49,0)),"ACCOUNT NOT FOUND"))</f>
        <v>Expense</v>
      </c>
      <c r="D39" s="37">
        <f>IF($A39="","",SUMIFS(TB_General_Journal!$E:$E,TB_General_Journal!$C:$C,$A39))</f>
        <v>4727.33</v>
      </c>
      <c r="E39" s="37">
        <f>IF($A39="","",SUMIFS(TB_General_Journal!$F:$F,TB_General_Journal!$C:$C,$A39))</f>
        <v>0</v>
      </c>
      <c r="F39" s="2">
        <v>0</v>
      </c>
      <c r="G39" s="37">
        <f t="shared" si="0"/>
        <v>4727.33</v>
      </c>
      <c r="H39" s="37" t="str">
        <f t="shared" si="1"/>
        <v>Debit</v>
      </c>
    </row>
    <row r="40" spans="1:8" ht="18" customHeight="1" x14ac:dyDescent="0.35">
      <c r="A40" s="37" t="str">
        <f>IFERROR(INDEX(TB_COA!$A$5:$A$49,ROW()-3),"")</f>
        <v>6-1000</v>
      </c>
      <c r="B40" s="37" t="str">
        <f>IF($A40="","",IFERROR(INDEX(TB_COA!$B$5:$B$49,MATCH($A40,TB_COA!$A$5:$A$49,0)),"ACCOUNT NOT FOUND"))</f>
        <v>Salaries &amp; Wages</v>
      </c>
      <c r="C40" s="37" t="str">
        <f>IF($A40="","",IFERROR(INDEX(TB_COA!$C$5:$C$49,MATCH($A40,TB_COA!$A$5:$A$49,0)),"ACCOUNT NOT FOUND"))</f>
        <v>Expense</v>
      </c>
      <c r="D40" s="37">
        <f>IF($A40="","",SUMIFS(TB_General_Journal!$E:$E,TB_General_Journal!$C:$C,$A40))</f>
        <v>0</v>
      </c>
      <c r="E40" s="37">
        <f>IF($A40="","",SUMIFS(TB_General_Journal!$F:$F,TB_General_Journal!$C:$C,$A40))</f>
        <v>0</v>
      </c>
      <c r="F40" s="2">
        <v>0</v>
      </c>
      <c r="G40" s="37">
        <f t="shared" si="0"/>
        <v>0</v>
      </c>
      <c r="H40" s="37" t="str">
        <f t="shared" si="1"/>
        <v>Zero</v>
      </c>
    </row>
    <row r="41" spans="1:8" ht="18" customHeight="1" x14ac:dyDescent="0.35">
      <c r="A41" s="37" t="str">
        <f>IFERROR(INDEX(TB_COA!$A$5:$A$49,ROW()-3),"")</f>
        <v>6-2000</v>
      </c>
      <c r="B41" s="37" t="str">
        <f>IF($A41="","",IFERROR(INDEX(TB_COA!$B$5:$B$49,MATCH($A41,TB_COA!$A$5:$A$49,0)),"ACCOUNT NOT FOUND"))</f>
        <v>Rent &amp; Office Expenses</v>
      </c>
      <c r="C41" s="37" t="str">
        <f>IF($A41="","",IFERROR(INDEX(TB_COA!$C$5:$C$49,MATCH($A41,TB_COA!$A$5:$A$49,0)),"ACCOUNT NOT FOUND"))</f>
        <v>Expense</v>
      </c>
      <c r="D41" s="37">
        <f>IF($A41="","",SUMIFS(TB_General_Journal!$E:$E,TB_General_Journal!$C:$C,$A41))</f>
        <v>0</v>
      </c>
      <c r="E41" s="37">
        <f>IF($A41="","",SUMIFS(TB_General_Journal!$F:$F,TB_General_Journal!$C:$C,$A41))</f>
        <v>0</v>
      </c>
      <c r="F41" s="2">
        <v>0</v>
      </c>
      <c r="G41" s="37">
        <f t="shared" si="0"/>
        <v>0</v>
      </c>
      <c r="H41" s="37" t="str">
        <f t="shared" si="1"/>
        <v>Zero</v>
      </c>
    </row>
    <row r="42" spans="1:8" ht="18" customHeight="1" x14ac:dyDescent="0.35">
      <c r="A42" s="37" t="str">
        <f>IFERROR(INDEX(TB_COA!$A$5:$A$49,ROW()-3),"")</f>
        <v>6-3100</v>
      </c>
      <c r="B42" s="37" t="str">
        <f>IF($A42="","",IFERROR(INDEX(TB_COA!$B$5:$B$49,MATCH($A42,TB_COA!$A$5:$A$49,0)),"ACCOUNT NOT FOUND"))</f>
        <v>Sales &amp; Marketing - Rep Commission</v>
      </c>
      <c r="C42" s="37" t="str">
        <f>IF($A42="","",IFERROR(INDEX(TB_COA!$C$5:$C$49,MATCH($A42,TB_COA!$A$5:$A$49,0)),"ACCOUNT NOT FOUND"))</f>
        <v>Expense</v>
      </c>
      <c r="D42" s="37">
        <f>IF($A42="","",SUMIFS(TB_General_Journal!$E:$E,TB_General_Journal!$C:$C,$A42))</f>
        <v>0</v>
      </c>
      <c r="E42" s="37">
        <f>IF($A42="","",SUMIFS(TB_General_Journal!$F:$F,TB_General_Journal!$C:$C,$A42))</f>
        <v>0</v>
      </c>
      <c r="F42" s="2">
        <v>0</v>
      </c>
      <c r="G42" s="37">
        <f t="shared" si="0"/>
        <v>0</v>
      </c>
      <c r="H42" s="37" t="str">
        <f t="shared" si="1"/>
        <v>Zero</v>
      </c>
    </row>
    <row r="43" spans="1:8" ht="18" customHeight="1" x14ac:dyDescent="0.35">
      <c r="A43" s="37" t="str">
        <f>IFERROR(INDEX(TB_COA!$A$5:$A$49,ROW()-3),"")</f>
        <v>6-3200</v>
      </c>
      <c r="B43" s="37" t="str">
        <f>IF($A43="","",IFERROR(INDEX(TB_COA!$B$5:$B$49,MATCH($A43,TB_COA!$A$5:$A$49,0)),"ACCOUNT NOT FOUND"))</f>
        <v>Sales &amp; Marketing - Gratuities &amp; Gifts</v>
      </c>
      <c r="C43" s="37" t="str">
        <f>IF($A43="","",IFERROR(INDEX(TB_COA!$C$5:$C$49,MATCH($A43,TB_COA!$A$5:$A$49,0)),"ACCOUNT NOT FOUND"))</f>
        <v>Expense</v>
      </c>
      <c r="D43" s="37">
        <f>IF($A43="","",SUMIFS(TB_General_Journal!$E:$E,TB_General_Journal!$C:$C,$A43))</f>
        <v>0</v>
      </c>
      <c r="E43" s="37">
        <f>IF($A43="","",SUMIFS(TB_General_Journal!$F:$F,TB_General_Journal!$C:$C,$A43))</f>
        <v>0</v>
      </c>
      <c r="F43" s="2">
        <v>0</v>
      </c>
      <c r="G43" s="37">
        <f t="shared" si="0"/>
        <v>0</v>
      </c>
      <c r="H43" s="37" t="str">
        <f t="shared" si="1"/>
        <v>Zero</v>
      </c>
    </row>
    <row r="44" spans="1:8" ht="18" customHeight="1" x14ac:dyDescent="0.35">
      <c r="A44" s="37" t="str">
        <f>IFERROR(INDEX(TB_COA!$A$5:$A$49,ROW()-3),"")</f>
        <v>6-5000</v>
      </c>
      <c r="B44" s="37" t="str">
        <f>IF($A44="","",IFERROR(INDEX(TB_COA!$B$5:$B$49,MATCH($A44,TB_COA!$A$5:$A$49,0)),"ACCOUNT NOT FOUND"))</f>
        <v>Travel &amp; Entertainment</v>
      </c>
      <c r="C44" s="37" t="str">
        <f>IF($A44="","",IFERROR(INDEX(TB_COA!$C$5:$C$49,MATCH($A44,TB_COA!$A$5:$A$49,0)),"ACCOUNT NOT FOUND"))</f>
        <v>Expense</v>
      </c>
      <c r="D44" s="37">
        <f>IF($A44="","",SUMIFS(TB_General_Journal!$E:$E,TB_General_Journal!$C:$C,$A44))</f>
        <v>0</v>
      </c>
      <c r="E44" s="37">
        <f>IF($A44="","",SUMIFS(TB_General_Journal!$F:$F,TB_General_Journal!$C:$C,$A44))</f>
        <v>0</v>
      </c>
      <c r="F44" s="2">
        <v>0</v>
      </c>
      <c r="G44" s="37">
        <f t="shared" si="0"/>
        <v>0</v>
      </c>
      <c r="H44" s="37" t="str">
        <f t="shared" si="1"/>
        <v>Zero</v>
      </c>
    </row>
    <row r="45" spans="1:8" ht="18" customHeight="1" x14ac:dyDescent="0.35">
      <c r="A45" s="37" t="str">
        <f>IFERROR(INDEX(TB_COA!$A$5:$A$49,ROW()-3),"")</f>
        <v>6-7000</v>
      </c>
      <c r="B45" s="37" t="str">
        <f>IF($A45="","",IFERROR(INDEX(TB_COA!$B$5:$B$49,MATCH($A45,TB_COA!$A$5:$A$49,0)),"ACCOUNT NOT FOUND"))</f>
        <v>Depreciation</v>
      </c>
      <c r="C45" s="37" t="str">
        <f>IF($A45="","",IFERROR(INDEX(TB_COA!$C$5:$C$49,MATCH($A45,TB_COA!$A$5:$A$49,0)),"ACCOUNT NOT FOUND"))</f>
        <v>Expense</v>
      </c>
      <c r="D45" s="37">
        <f>IF($A45="","",SUMIFS(TB_General_Journal!$E:$E,TB_General_Journal!$C:$C,$A45))</f>
        <v>0</v>
      </c>
      <c r="E45" s="37">
        <f>IF($A45="","",SUMIFS(TB_General_Journal!$F:$F,TB_General_Journal!$C:$C,$A45))</f>
        <v>0</v>
      </c>
      <c r="F45" s="2">
        <v>0</v>
      </c>
      <c r="G45" s="37">
        <f t="shared" si="0"/>
        <v>0</v>
      </c>
      <c r="H45" s="37" t="str">
        <f t="shared" si="1"/>
        <v>Zero</v>
      </c>
    </row>
    <row r="46" spans="1:8" ht="18" customHeight="1" x14ac:dyDescent="0.35">
      <c r="A46" s="37" t="str">
        <f>IFERROR(INDEX(TB_COA!$A$5:$A$49,ROW()-3),"")</f>
        <v>6-8000</v>
      </c>
      <c r="B46" s="37" t="str">
        <f>IF($A46="","",IFERROR(INDEX(TB_COA!$B$5:$B$49,MATCH($A46,TB_COA!$A$5:$A$49,0)),"ACCOUNT NOT FOUND"))</f>
        <v>Bank Charges &amp; Realized FX Loss</v>
      </c>
      <c r="C46" s="37" t="str">
        <f>IF($A46="","",IFERROR(INDEX(TB_COA!$C$5:$C$49,MATCH($A46,TB_COA!$A$5:$A$49,0)),"ACCOUNT NOT FOUND"))</f>
        <v>Expense</v>
      </c>
      <c r="D46" s="37">
        <f>IF($A46="","",SUMIFS(TB_General_Journal!$E:$E,TB_General_Journal!$C:$C,$A46))</f>
        <v>50642.450000000004</v>
      </c>
      <c r="E46" s="37">
        <f>IF($A46="","",SUMIFS(TB_General_Journal!$F:$F,TB_General_Journal!$C:$C,$A46))</f>
        <v>0</v>
      </c>
      <c r="F46" s="2">
        <v>0</v>
      </c>
      <c r="G46" s="37">
        <f t="shared" si="0"/>
        <v>50642.450000000004</v>
      </c>
      <c r="H46" s="37" t="str">
        <f t="shared" si="1"/>
        <v>Debit</v>
      </c>
    </row>
    <row r="47" spans="1:8" ht="18" customHeight="1" x14ac:dyDescent="0.35">
      <c r="A47" s="37" t="str">
        <f>IFERROR(INDEX(TB_COA!$A$5:$A$49,ROW()-3),"")</f>
        <v>7-1000</v>
      </c>
      <c r="B47" s="37" t="str">
        <f>IF($A47="","",IFERROR(INDEX(TB_COA!$B$5:$B$49,MATCH($A47,TB_COA!$A$5:$A$49,0)),"ACCOUNT NOT FOUND"))</f>
        <v>Realized FX Gain</v>
      </c>
      <c r="C47" s="37" t="str">
        <f>IF($A47="","",IFERROR(INDEX(TB_COA!$C$5:$C$49,MATCH($A47,TB_COA!$A$5:$A$49,0)),"ACCOUNT NOT FOUND"))</f>
        <v>Revenue</v>
      </c>
      <c r="D47" s="37">
        <f>IF($A47="","",SUMIFS(TB_General_Journal!$E:$E,TB_General_Journal!$C:$C,$A47))</f>
        <v>0</v>
      </c>
      <c r="E47" s="37">
        <f>IF($A47="","",SUMIFS(TB_General_Journal!$F:$F,TB_General_Journal!$C:$C,$A47))</f>
        <v>54809.3</v>
      </c>
      <c r="F47" s="2">
        <v>0</v>
      </c>
      <c r="G47" s="37">
        <f t="shared" si="0"/>
        <v>-54809.3</v>
      </c>
      <c r="H47" s="37" t="str">
        <f t="shared" si="1"/>
        <v>Credit</v>
      </c>
    </row>
    <row r="48" spans="1:8" ht="18" customHeight="1" x14ac:dyDescent="0.35">
      <c r="A48" s="37" t="str">
        <f>IFERROR(INDEX(TB_COA!$A$5:$A$49,ROW()-3),"")</f>
        <v>7-2000</v>
      </c>
      <c r="B48" s="37" t="str">
        <f>IF($A48="","",IFERROR(INDEX(TB_COA!$B$5:$B$49,MATCH($A48,TB_COA!$A$5:$A$49,0)),"ACCOUNT NOT FOUND"))</f>
        <v>Unrealized FX Gain/Loss</v>
      </c>
      <c r="C48" s="37" t="str">
        <f>IF($A48="","",IFERROR(INDEX(TB_COA!$C$5:$C$49,MATCH($A48,TB_COA!$A$5:$A$49,0)),"ACCOUNT NOT FOUND"))</f>
        <v>Expense/Income</v>
      </c>
      <c r="D48" s="37">
        <f>IF($A48="","",SUMIFS(TB_General_Journal!$E:$E,TB_General_Journal!$C:$C,$A48))</f>
        <v>0</v>
      </c>
      <c r="E48" s="37">
        <f>IF($A48="","",SUMIFS(TB_General_Journal!$F:$F,TB_General_Journal!$C:$C,$A48))</f>
        <v>0</v>
      </c>
      <c r="F48" s="2">
        <v>0</v>
      </c>
      <c r="G48" s="37">
        <f t="shared" si="0"/>
        <v>0</v>
      </c>
      <c r="H48" s="37" t="str">
        <f t="shared" si="1"/>
        <v>Zero</v>
      </c>
    </row>
    <row r="49" spans="2:8" ht="18" customHeight="1" x14ac:dyDescent="0.35">
      <c r="B49" s="2" t="s">
        <v>1291</v>
      </c>
      <c r="D49" s="37">
        <f>SUM(D4:D48)</f>
        <v>81404415.439999998</v>
      </c>
      <c r="E49" s="37">
        <f>SUM(E4:E48)</f>
        <v>81404415.439999998</v>
      </c>
      <c r="F49" s="37">
        <f>SUM(F4:F48)</f>
        <v>0</v>
      </c>
      <c r="G49" s="37">
        <f>SUM(G4:G48)</f>
        <v>3.2814568839967251E-9</v>
      </c>
      <c r="H49" s="37" t="str">
        <f>IF(ROUND(D49-E49,2)=0,"BALANCED","OUT OF BALANCE")</f>
        <v>BALANCED</v>
      </c>
    </row>
  </sheetData>
  <sheetProtection algorithmName="SHA-512" hashValue="nm2V8Bx5IOsn3lLUuusHms9XpnJW5Zg/TYMll2cApDcFRiSJcsKeBe7C5NEAvPhmxwhXFwYXuTEuYxG4wqU3XQ==" saltValue="qFT41wNW7/qwO0pLhHAeZg==" spinCount="100000" sheet="1" objects="1" scenarios="1"/>
  <mergeCells count="2">
    <mergeCell ref="A1:H1"/>
    <mergeCell ref="A2:H2"/>
  </mergeCells>
  <hyperlinks>
    <hyperlink ref="J1" location="DMC_NAVIGATION!A1" display="🏠 Back to Home" xr:uid="{00000000-0004-0000-14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M13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10" style="2" customWidth="1"/>
    <col min="2" max="2" width="13" style="2" customWidth="1"/>
    <col min="3" max="3" width="12" style="2" customWidth="1"/>
    <col min="4" max="4" width="16" style="2" customWidth="1"/>
    <col min="5" max="5" width="10" style="2" customWidth="1"/>
    <col min="6" max="6" width="16" style="2" customWidth="1"/>
    <col min="7" max="7" width="9" style="2" customWidth="1"/>
    <col min="8" max="8" width="6" style="2" customWidth="1"/>
    <col min="9" max="9" width="12" style="2" customWidth="1"/>
    <col min="10" max="10" width="9" style="2" customWidth="1"/>
    <col min="11" max="11" width="17" style="2" customWidth="1"/>
    <col min="12" max="12" width="8.6328125" style="2"/>
    <col min="13" max="13" width="16" style="2" customWidth="1"/>
    <col min="14" max="16384" width="8.6328125" style="2"/>
  </cols>
  <sheetData>
    <row r="1" spans="1:13" ht="25.5" customHeight="1" x14ac:dyDescent="0.35">
      <c r="A1" s="26" t="s">
        <v>1292</v>
      </c>
      <c r="B1" s="26"/>
      <c r="C1" s="26"/>
      <c r="D1" s="26"/>
      <c r="E1" s="26"/>
      <c r="F1" s="26"/>
      <c r="G1" s="26"/>
      <c r="H1" s="26"/>
      <c r="I1" s="26"/>
      <c r="J1" s="26"/>
      <c r="K1" s="26"/>
      <c r="M1" s="27" t="s">
        <v>88</v>
      </c>
    </row>
    <row r="2" spans="1:13" ht="19.5" customHeight="1" x14ac:dyDescent="0.35">
      <c r="A2" s="29" t="s">
        <v>1293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3" ht="31.5" customHeight="1" x14ac:dyDescent="0.35">
      <c r="A3" s="34" t="s">
        <v>1294</v>
      </c>
      <c r="B3" s="34" t="s">
        <v>245</v>
      </c>
      <c r="C3" s="34" t="s">
        <v>648</v>
      </c>
      <c r="D3" s="34" t="s">
        <v>1295</v>
      </c>
      <c r="E3" s="34" t="s">
        <v>1296</v>
      </c>
      <c r="F3" s="34" t="s">
        <v>1297</v>
      </c>
      <c r="G3" s="34" t="s">
        <v>1298</v>
      </c>
      <c r="H3" s="34" t="s">
        <v>1299</v>
      </c>
      <c r="I3" s="34" t="s">
        <v>651</v>
      </c>
      <c r="J3" s="34" t="s">
        <v>7</v>
      </c>
      <c r="K3" s="34" t="s">
        <v>1300</v>
      </c>
    </row>
    <row r="4" spans="1:13" ht="18" customHeight="1" x14ac:dyDescent="0.35">
      <c r="A4" s="2" t="s">
        <v>1301</v>
      </c>
      <c r="B4" s="2" t="s">
        <v>355</v>
      </c>
      <c r="C4" s="2" t="s">
        <v>655</v>
      </c>
      <c r="D4" s="37">
        <f>IFERROR(INDEX(TB_AP_Invoices!$K$4:$K$1000,MATCH(INDEX(TB_Hotel_Accruals!$B$4:$B$1000,MATCH($B4,TB_Hotel_Accruals!$C$4:$C$1000,0)),TB_AP_Invoices!$G$4:$G$1000,0)),INDEX(TB_Hotel_Accruals!$I$4:$I$1000,MATCH($B4,TB_Hotel_Accruals!$C$4:$C$1000,0))/1.14)</f>
        <v>4717263.1578947371</v>
      </c>
      <c r="E4" s="2">
        <v>0.03</v>
      </c>
      <c r="F4" s="37">
        <f t="shared" ref="F4:F13" si="0">D4*E4</f>
        <v>141517.89473684211</v>
      </c>
      <c r="G4" s="2" t="s">
        <v>1302</v>
      </c>
      <c r="H4" s="2">
        <v>2026</v>
      </c>
      <c r="I4" s="2" t="s">
        <v>1303</v>
      </c>
      <c r="J4" s="2" t="s">
        <v>1304</v>
      </c>
      <c r="K4" s="2" t="s">
        <v>1258</v>
      </c>
    </row>
    <row r="5" spans="1:13" ht="18" customHeight="1" x14ac:dyDescent="0.35">
      <c r="A5" s="2" t="s">
        <v>1305</v>
      </c>
      <c r="B5" s="2" t="s">
        <v>358</v>
      </c>
      <c r="C5" s="2" t="s">
        <v>656</v>
      </c>
      <c r="D5" s="37">
        <f>IFERROR(INDEX(TB_AP_Invoices!$K$4:$K$1000,MATCH(INDEX(TB_Hotel_Accruals!$B$4:$B$1000,MATCH($B5,TB_Hotel_Accruals!$C$4:$C$1000,0)),TB_AP_Invoices!$G$4:$G$1000,0)),INDEX(TB_Hotel_Accruals!$I$4:$I$1000,MATCH($B5,TB_Hotel_Accruals!$C$4:$C$1000,0))/1.14)</f>
        <v>882221.05263157899</v>
      </c>
      <c r="E5" s="2">
        <v>0.03</v>
      </c>
      <c r="F5" s="37">
        <f t="shared" si="0"/>
        <v>26466.63157894737</v>
      </c>
      <c r="G5" s="2" t="s">
        <v>1302</v>
      </c>
      <c r="H5" s="2">
        <v>2026</v>
      </c>
      <c r="I5" s="2" t="s">
        <v>1303</v>
      </c>
      <c r="J5" s="2" t="s">
        <v>1304</v>
      </c>
      <c r="K5" s="2" t="s">
        <v>1258</v>
      </c>
    </row>
    <row r="6" spans="1:13" ht="18" customHeight="1" x14ac:dyDescent="0.35">
      <c r="A6" s="2" t="s">
        <v>1306</v>
      </c>
      <c r="B6" s="2" t="s">
        <v>361</v>
      </c>
      <c r="C6" s="2" t="s">
        <v>657</v>
      </c>
      <c r="D6" s="37">
        <f>IFERROR(INDEX(TB_AP_Invoices!$K$4:$K$1000,MATCH(INDEX(TB_Hotel_Accruals!$B$4:$B$1000,MATCH($B6,TB_Hotel_Accruals!$C$4:$C$1000,0)),TB_AP_Invoices!$G$4:$G$1000,0)),INDEX(TB_Hotel_Accruals!$I$4:$I$1000,MATCH($B6,TB_Hotel_Accruals!$C$4:$C$1000,0))/1.14)</f>
        <v>711531.57894736843</v>
      </c>
      <c r="E6" s="2">
        <v>0.03</v>
      </c>
      <c r="F6" s="37">
        <f t="shared" si="0"/>
        <v>21345.947368421053</v>
      </c>
      <c r="G6" s="2" t="s">
        <v>1302</v>
      </c>
      <c r="H6" s="2">
        <v>2026</v>
      </c>
      <c r="I6" s="2" t="s">
        <v>1303</v>
      </c>
      <c r="J6" s="2" t="s">
        <v>1304</v>
      </c>
      <c r="K6" s="2" t="s">
        <v>1258</v>
      </c>
    </row>
    <row r="7" spans="1:13" ht="18" customHeight="1" x14ac:dyDescent="0.35">
      <c r="A7" s="2" t="s">
        <v>1307</v>
      </c>
      <c r="B7" s="2" t="s">
        <v>379</v>
      </c>
      <c r="C7" s="2" t="s">
        <v>659</v>
      </c>
      <c r="D7" s="37">
        <f>IFERROR(INDEX(TB_AP_Invoices!$K$4:$K$1000,MATCH(INDEX(TB_Hotel_Accruals!$B$4:$B$1000,MATCH($B7,TB_Hotel_Accruals!$C$4:$C$1000,0)),TB_AP_Invoices!$G$4:$G$1000,0)),INDEX(TB_Hotel_Accruals!$I$4:$I$1000,MATCH($B7,TB_Hotel_Accruals!$C$4:$C$1000,0))/1.14)</f>
        <v>809431.57894736854</v>
      </c>
      <c r="E7" s="2">
        <v>0.03</v>
      </c>
      <c r="F7" s="37">
        <f t="shared" si="0"/>
        <v>24282.947368421057</v>
      </c>
      <c r="G7" s="2" t="s">
        <v>1302</v>
      </c>
      <c r="H7" s="2">
        <v>2026</v>
      </c>
      <c r="I7" s="2" t="s">
        <v>1303</v>
      </c>
      <c r="J7" s="2" t="s">
        <v>1304</v>
      </c>
      <c r="K7" s="2" t="s">
        <v>1258</v>
      </c>
    </row>
    <row r="8" spans="1:13" ht="18" customHeight="1" x14ac:dyDescent="0.35">
      <c r="A8" s="2" t="s">
        <v>1308</v>
      </c>
      <c r="B8" s="2" t="s">
        <v>382</v>
      </c>
      <c r="C8" s="2" t="s">
        <v>661</v>
      </c>
      <c r="D8" s="37">
        <f>IFERROR(INDEX(TB_AP_Invoices!$K$4:$K$1000,MATCH(INDEX(TB_Hotel_Accruals!$B$4:$B$1000,MATCH($B8,TB_Hotel_Accruals!$C$4:$C$1000,0)),TB_AP_Invoices!$G$4:$G$1000,0)),INDEX(TB_Hotel_Accruals!$I$4:$I$1000,MATCH($B8,TB_Hotel_Accruals!$C$4:$C$1000,0))/1.14)</f>
        <v>108581.05263157895</v>
      </c>
      <c r="E8" s="2">
        <v>0.03</v>
      </c>
      <c r="F8" s="37">
        <f t="shared" si="0"/>
        <v>3257.4315789473681</v>
      </c>
      <c r="G8" s="2" t="s">
        <v>1302</v>
      </c>
      <c r="H8" s="2">
        <v>2026</v>
      </c>
      <c r="I8" s="2" t="s">
        <v>1303</v>
      </c>
      <c r="J8" s="2" t="s">
        <v>1304</v>
      </c>
      <c r="K8" s="2" t="s">
        <v>1258</v>
      </c>
    </row>
    <row r="9" spans="1:13" ht="18" customHeight="1" x14ac:dyDescent="0.35">
      <c r="A9" s="2" t="s">
        <v>1309</v>
      </c>
      <c r="B9" s="2" t="s">
        <v>364</v>
      </c>
      <c r="C9" s="2" t="s">
        <v>655</v>
      </c>
      <c r="D9" s="37">
        <f>IFERROR(INDEX(TB_AP_Invoices!$K$4:$K$1000,MATCH(INDEX(TB_Hotel_Accruals!$B$4:$B$1000,MATCH($B9,TB_Hotel_Accruals!$C$4:$C$1000,0)),TB_AP_Invoices!$G$4:$G$1000,0)),INDEX(TB_Hotel_Accruals!$I$4:$I$1000,MATCH($B9,TB_Hotel_Accruals!$C$4:$C$1000,0))/1.14)</f>
        <v>5058666.666666667</v>
      </c>
      <c r="E9" s="2">
        <v>0.03</v>
      </c>
      <c r="F9" s="37">
        <f t="shared" si="0"/>
        <v>151760</v>
      </c>
      <c r="G9" s="2" t="s">
        <v>1302</v>
      </c>
      <c r="H9" s="2">
        <v>2026</v>
      </c>
      <c r="I9" s="2" t="s">
        <v>1303</v>
      </c>
      <c r="J9" s="2" t="s">
        <v>1304</v>
      </c>
      <c r="K9" s="2" t="s">
        <v>1258</v>
      </c>
    </row>
    <row r="10" spans="1:13" ht="18" customHeight="1" x14ac:dyDescent="0.35">
      <c r="A10" s="2" t="s">
        <v>1310</v>
      </c>
      <c r="B10" s="2" t="s">
        <v>367</v>
      </c>
      <c r="C10" s="2" t="s">
        <v>656</v>
      </c>
      <c r="D10" s="37">
        <f>IFERROR(INDEX(TB_AP_Invoices!$K$4:$K$1000,MATCH(INDEX(TB_Hotel_Accruals!$B$4:$B$1000,MATCH($B10,TB_Hotel_Accruals!$C$4:$C$1000,0)),TB_AP_Invoices!$G$4:$G$1000,0)),INDEX(TB_Hotel_Accruals!$I$4:$I$1000,MATCH($B10,TB_Hotel_Accruals!$C$4:$C$1000,0))/1.14)</f>
        <v>835505.26315789483</v>
      </c>
      <c r="E10" s="2">
        <v>0.03</v>
      </c>
      <c r="F10" s="37">
        <f t="shared" si="0"/>
        <v>25065.157894736843</v>
      </c>
      <c r="G10" s="2" t="s">
        <v>1302</v>
      </c>
      <c r="H10" s="2">
        <v>2026</v>
      </c>
      <c r="I10" s="2" t="s">
        <v>1303</v>
      </c>
      <c r="J10" s="2" t="s">
        <v>1304</v>
      </c>
      <c r="K10" s="2" t="s">
        <v>1258</v>
      </c>
    </row>
    <row r="11" spans="1:13" ht="18" customHeight="1" x14ac:dyDescent="0.35">
      <c r="A11" s="2" t="s">
        <v>1311</v>
      </c>
      <c r="B11" s="2" t="s">
        <v>370</v>
      </c>
      <c r="C11" s="2" t="s">
        <v>657</v>
      </c>
      <c r="D11" s="37">
        <f>IFERROR(INDEX(TB_AP_Invoices!$K$4:$K$1000,MATCH(INDEX(TB_Hotel_Accruals!$B$4:$B$1000,MATCH($B11,TB_Hotel_Accruals!$C$4:$C$1000,0)),TB_AP_Invoices!$G$4:$G$1000,0)),INDEX(TB_Hotel_Accruals!$I$4:$I$1000,MATCH($B11,TB_Hotel_Accruals!$C$4:$C$1000,0))/1.14)</f>
        <v>965838.59649122821</v>
      </c>
      <c r="E11" s="2">
        <v>0.03</v>
      </c>
      <c r="F11" s="37">
        <f t="shared" si="0"/>
        <v>28975.157894736843</v>
      </c>
      <c r="G11" s="2" t="s">
        <v>1302</v>
      </c>
      <c r="H11" s="2">
        <v>2026</v>
      </c>
      <c r="I11" s="2" t="s">
        <v>1303</v>
      </c>
      <c r="J11" s="2" t="s">
        <v>1304</v>
      </c>
      <c r="K11" s="2" t="s">
        <v>1258</v>
      </c>
    </row>
    <row r="12" spans="1:13" ht="18" customHeight="1" x14ac:dyDescent="0.35">
      <c r="A12" s="2" t="s">
        <v>1312</v>
      </c>
      <c r="B12" s="2" t="s">
        <v>373</v>
      </c>
      <c r="C12" s="2" t="s">
        <v>659</v>
      </c>
      <c r="D12" s="37">
        <f>IFERROR(INDEX(TB_AP_Invoices!$K$4:$K$1000,MATCH(INDEX(TB_Hotel_Accruals!$B$4:$B$1000,MATCH($B12,TB_Hotel_Accruals!$C$4:$C$1000,0)),TB_AP_Invoices!$G$4:$G$1000,0)),INDEX(TB_Hotel_Accruals!$I$4:$I$1000,MATCH($B12,TB_Hotel_Accruals!$C$4:$C$1000,0))/1.14)</f>
        <v>1453052.6315789474</v>
      </c>
      <c r="E12" s="2">
        <v>0.03</v>
      </c>
      <c r="F12" s="37">
        <f t="shared" si="0"/>
        <v>43591.57894736842</v>
      </c>
      <c r="G12" s="2" t="s">
        <v>1302</v>
      </c>
      <c r="H12" s="2">
        <v>2026</v>
      </c>
      <c r="I12" s="2" t="s">
        <v>1303</v>
      </c>
      <c r="J12" s="2" t="s">
        <v>1304</v>
      </c>
      <c r="K12" s="2" t="s">
        <v>1258</v>
      </c>
    </row>
    <row r="13" spans="1:13" ht="18" customHeight="1" x14ac:dyDescent="0.35">
      <c r="A13" s="2" t="s">
        <v>1313</v>
      </c>
      <c r="B13" s="2" t="s">
        <v>376</v>
      </c>
      <c r="C13" s="2" t="s">
        <v>661</v>
      </c>
      <c r="D13" s="37">
        <f>IFERROR(INDEX(TB_AP_Invoices!$K$4:$K$1000,MATCH(INDEX(TB_Hotel_Accruals!$B$4:$B$1000,MATCH($B13,TB_Hotel_Accruals!$C$4:$C$1000,0)),TB_AP_Invoices!$G$4:$G$1000,0)),INDEX(TB_Hotel_Accruals!$I$4:$I$1000,MATCH($B13,TB_Hotel_Accruals!$C$4:$C$1000,0))/1.14)</f>
        <v>1476435.0877192984</v>
      </c>
      <c r="E13" s="2">
        <v>0.03</v>
      </c>
      <c r="F13" s="37">
        <f t="shared" si="0"/>
        <v>44293.052631578954</v>
      </c>
      <c r="G13" s="2" t="s">
        <v>1302</v>
      </c>
      <c r="H13" s="2">
        <v>2026</v>
      </c>
      <c r="I13" s="2" t="s">
        <v>1303</v>
      </c>
      <c r="J13" s="2" t="s">
        <v>1304</v>
      </c>
      <c r="K13" s="2" t="s">
        <v>1258</v>
      </c>
    </row>
  </sheetData>
  <sheetProtection algorithmName="SHA-512" hashValue="GjcVOlow8rfFguNQFA50shtD+c3Nox9kqN9nz7yQ4zLOGHW/1LvDKk8hyI8ltlotHKfyc0SCDYkdb1ozblPS7g==" saltValue="AcTsdIJthACQsDO1D2cTzw==" spinCount="100000" sheet="1" objects="1" scenarios="1"/>
  <mergeCells count="2">
    <mergeCell ref="A1:K1"/>
    <mergeCell ref="A2:K2"/>
  </mergeCells>
  <hyperlinks>
    <hyperlink ref="M1" location="DMC_NAVIGATION!A1" display="🏠 Back to Home" xr:uid="{00000000-0004-0000-15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W13"/>
  <sheetViews>
    <sheetView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15" style="2" customWidth="1"/>
    <col min="2" max="3" width="14" style="2" customWidth="1"/>
    <col min="4" max="4" width="11" style="2" customWidth="1"/>
    <col min="5" max="5" width="25" style="2" customWidth="1"/>
    <col min="6" max="6" width="16" style="2" customWidth="1"/>
    <col min="7" max="7" width="14" style="2" customWidth="1"/>
    <col min="8" max="8" width="12" style="2" customWidth="1"/>
    <col min="9" max="9" width="10" style="2" customWidth="1"/>
    <col min="10" max="10" width="11" style="2" customWidth="1"/>
    <col min="11" max="11" width="10" style="2" customWidth="1"/>
    <col min="12" max="12" width="12" style="2" customWidth="1"/>
    <col min="13" max="13" width="16" style="2" customWidth="1"/>
    <col min="14" max="14" width="20" style="2" customWidth="1"/>
    <col min="15" max="16" width="19" style="2" customWidth="1"/>
    <col min="17" max="17" width="18" style="2" customWidth="1"/>
    <col min="18" max="18" width="14" style="2" customWidth="1"/>
    <col min="19" max="19" width="16" style="2" customWidth="1"/>
    <col min="20" max="20" width="23" style="2" customWidth="1"/>
    <col min="21" max="21" width="41" style="2" customWidth="1"/>
    <col min="22" max="22" width="8.6328125" style="2"/>
    <col min="23" max="23" width="16" style="2" customWidth="1"/>
    <col min="24" max="16384" width="8.6328125" style="2"/>
  </cols>
  <sheetData>
    <row r="1" spans="1:23" ht="25.5" customHeight="1" x14ac:dyDescent="0.35">
      <c r="A1" s="26" t="s">
        <v>1314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W1" s="27" t="s">
        <v>88</v>
      </c>
    </row>
    <row r="2" spans="1:23" ht="19.5" customHeight="1" x14ac:dyDescent="0.35">
      <c r="A2" s="29" t="s">
        <v>1315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</row>
    <row r="3" spans="1:23" ht="31.5" customHeight="1" x14ac:dyDescent="0.35">
      <c r="A3" s="34" t="s">
        <v>1316</v>
      </c>
      <c r="B3" s="34" t="s">
        <v>1317</v>
      </c>
      <c r="C3" s="34" t="s">
        <v>649</v>
      </c>
      <c r="D3" s="34" t="s">
        <v>385</v>
      </c>
      <c r="E3" s="34" t="s">
        <v>386</v>
      </c>
      <c r="F3" s="34" t="s">
        <v>1318</v>
      </c>
      <c r="G3" s="34" t="s">
        <v>650</v>
      </c>
      <c r="H3" s="34" t="s">
        <v>651</v>
      </c>
      <c r="I3" s="34" t="s">
        <v>253</v>
      </c>
      <c r="J3" s="34" t="s">
        <v>652</v>
      </c>
      <c r="K3" s="34" t="s">
        <v>551</v>
      </c>
      <c r="L3" s="34" t="s">
        <v>653</v>
      </c>
      <c r="M3" s="34" t="s">
        <v>654</v>
      </c>
      <c r="N3" s="34" t="s">
        <v>1319</v>
      </c>
      <c r="O3" s="34" t="s">
        <v>1320</v>
      </c>
      <c r="P3" s="34" t="s">
        <v>1321</v>
      </c>
      <c r="Q3" s="34" t="s">
        <v>1322</v>
      </c>
      <c r="R3" s="34" t="s">
        <v>1323</v>
      </c>
      <c r="S3" s="34" t="s">
        <v>1324</v>
      </c>
      <c r="T3" s="34" t="s">
        <v>1325</v>
      </c>
      <c r="U3" s="34" t="s">
        <v>139</v>
      </c>
    </row>
    <row r="4" spans="1:23" ht="18" customHeight="1" x14ac:dyDescent="0.35">
      <c r="A4" s="2" t="s">
        <v>1326</v>
      </c>
      <c r="B4" s="2" t="s">
        <v>805</v>
      </c>
      <c r="C4" s="2" t="s">
        <v>1327</v>
      </c>
      <c r="D4" s="2" t="s">
        <v>393</v>
      </c>
      <c r="E4" s="2" t="s">
        <v>394</v>
      </c>
      <c r="F4" s="2" t="s">
        <v>397</v>
      </c>
      <c r="G4" s="2" t="s">
        <v>204</v>
      </c>
      <c r="H4" s="2" t="s">
        <v>234</v>
      </c>
      <c r="I4" s="2" t="s">
        <v>313</v>
      </c>
      <c r="J4" s="2">
        <v>126000</v>
      </c>
      <c r="K4" s="2">
        <v>53.35</v>
      </c>
      <c r="L4" s="2">
        <v>6722100</v>
      </c>
      <c r="M4" s="2">
        <v>825521.05</v>
      </c>
      <c r="N4" s="2">
        <v>6722100</v>
      </c>
      <c r="O4" s="2" t="s">
        <v>1328</v>
      </c>
      <c r="P4" s="2" t="s">
        <v>1329</v>
      </c>
      <c r="Q4" s="2" t="s">
        <v>1330</v>
      </c>
      <c r="R4" s="2" t="s">
        <v>803</v>
      </c>
      <c r="S4" s="2" t="s">
        <v>204</v>
      </c>
      <c r="T4" s="2" t="s">
        <v>1331</v>
      </c>
      <c r="U4" s="2" t="s">
        <v>1332</v>
      </c>
    </row>
    <row r="5" spans="1:23" ht="18" customHeight="1" x14ac:dyDescent="0.35">
      <c r="A5" s="2" t="s">
        <v>1333</v>
      </c>
      <c r="B5" s="2" t="s">
        <v>1100</v>
      </c>
      <c r="C5" s="2" t="s">
        <v>1327</v>
      </c>
      <c r="D5" s="2" t="s">
        <v>400</v>
      </c>
      <c r="E5" s="2" t="s">
        <v>1334</v>
      </c>
      <c r="F5" s="2" t="s">
        <v>403</v>
      </c>
      <c r="G5" s="2" t="s">
        <v>205</v>
      </c>
      <c r="H5" s="2" t="s">
        <v>235</v>
      </c>
      <c r="I5" s="2" t="s">
        <v>277</v>
      </c>
      <c r="J5" s="2">
        <v>25830</v>
      </c>
      <c r="K5" s="2">
        <v>49.12</v>
      </c>
      <c r="L5" s="2">
        <v>1268769.6000000001</v>
      </c>
      <c r="M5" s="2">
        <v>155813.81</v>
      </c>
      <c r="N5" s="2">
        <v>1268769.6000000001</v>
      </c>
      <c r="O5" s="2" t="s">
        <v>1328</v>
      </c>
      <c r="P5" s="2" t="s">
        <v>1329</v>
      </c>
      <c r="Q5" s="2" t="s">
        <v>1330</v>
      </c>
      <c r="R5" s="2" t="s">
        <v>803</v>
      </c>
      <c r="S5" s="2" t="s">
        <v>205</v>
      </c>
      <c r="T5" s="2" t="s">
        <v>1331</v>
      </c>
      <c r="U5" s="2" t="s">
        <v>1335</v>
      </c>
    </row>
    <row r="6" spans="1:23" ht="18" customHeight="1" x14ac:dyDescent="0.35">
      <c r="A6" s="2" t="s">
        <v>1336</v>
      </c>
      <c r="B6" s="2" t="s">
        <v>808</v>
      </c>
      <c r="C6" s="2" t="s">
        <v>1327</v>
      </c>
      <c r="D6" s="2" t="s">
        <v>406</v>
      </c>
      <c r="E6" s="2" t="s">
        <v>407</v>
      </c>
      <c r="F6" s="2" t="s">
        <v>410</v>
      </c>
      <c r="G6" s="2" t="s">
        <v>206</v>
      </c>
      <c r="H6" s="2" t="s">
        <v>236</v>
      </c>
      <c r="I6" s="2" t="s">
        <v>409</v>
      </c>
      <c r="J6" s="2">
        <v>16380</v>
      </c>
      <c r="K6" s="2">
        <v>62.3</v>
      </c>
      <c r="L6" s="2">
        <v>1020474</v>
      </c>
      <c r="M6" s="2">
        <v>125321.37</v>
      </c>
      <c r="N6" s="2">
        <v>1020474</v>
      </c>
      <c r="O6" s="2" t="s">
        <v>1328</v>
      </c>
      <c r="P6" s="2" t="s">
        <v>1329</v>
      </c>
      <c r="Q6" s="2" t="s">
        <v>1330</v>
      </c>
      <c r="R6" s="2" t="s">
        <v>803</v>
      </c>
      <c r="S6" s="2" t="s">
        <v>206</v>
      </c>
      <c r="T6" s="2" t="s">
        <v>1331</v>
      </c>
      <c r="U6" s="2" t="s">
        <v>1337</v>
      </c>
    </row>
    <row r="7" spans="1:23" ht="18" customHeight="1" x14ac:dyDescent="0.35">
      <c r="A7" s="2" t="s">
        <v>1338</v>
      </c>
      <c r="B7" s="2" t="s">
        <v>822</v>
      </c>
      <c r="C7" s="2" t="s">
        <v>1327</v>
      </c>
      <c r="D7" s="2" t="s">
        <v>412</v>
      </c>
      <c r="E7" s="2" t="s">
        <v>413</v>
      </c>
      <c r="F7" s="2" t="s">
        <v>415</v>
      </c>
      <c r="G7" s="2" t="s">
        <v>203</v>
      </c>
      <c r="H7" s="2" t="s">
        <v>233</v>
      </c>
      <c r="I7" s="2" t="s">
        <v>313</v>
      </c>
      <c r="J7" s="2">
        <v>21600</v>
      </c>
      <c r="K7" s="2">
        <v>53.4</v>
      </c>
      <c r="L7" s="2">
        <v>1153440</v>
      </c>
      <c r="M7" s="2">
        <v>141650.53</v>
      </c>
      <c r="N7" s="2">
        <v>1153440</v>
      </c>
      <c r="O7" s="2" t="s">
        <v>1328</v>
      </c>
      <c r="P7" s="2" t="s">
        <v>1329</v>
      </c>
      <c r="Q7" s="2" t="s">
        <v>1330</v>
      </c>
      <c r="R7" s="2" t="s">
        <v>803</v>
      </c>
      <c r="S7" s="2" t="s">
        <v>203</v>
      </c>
      <c r="T7" s="2" t="s">
        <v>1331</v>
      </c>
      <c r="U7" s="2" t="s">
        <v>1339</v>
      </c>
    </row>
    <row r="8" spans="1:23" ht="18" customHeight="1" x14ac:dyDescent="0.35">
      <c r="A8" s="2" t="s">
        <v>1340</v>
      </c>
      <c r="B8" s="2" t="s">
        <v>1133</v>
      </c>
      <c r="C8" s="2" t="s">
        <v>1327</v>
      </c>
      <c r="D8" s="2" t="s">
        <v>418</v>
      </c>
      <c r="E8" s="2" t="s">
        <v>419</v>
      </c>
      <c r="G8" s="2" t="s">
        <v>205</v>
      </c>
      <c r="H8" s="2" t="s">
        <v>235</v>
      </c>
      <c r="I8" s="2" t="s">
        <v>277</v>
      </c>
      <c r="J8" s="2">
        <v>3180</v>
      </c>
      <c r="K8" s="2">
        <v>49.12</v>
      </c>
      <c r="L8" s="2">
        <v>156201.60000000001</v>
      </c>
      <c r="M8" s="2">
        <v>19182.650000000001</v>
      </c>
      <c r="N8" s="2">
        <v>156201.60000000001</v>
      </c>
      <c r="O8" s="2" t="s">
        <v>620</v>
      </c>
      <c r="R8" s="2" t="s">
        <v>803</v>
      </c>
      <c r="T8" s="2" t="s">
        <v>620</v>
      </c>
      <c r="U8" s="2" t="s">
        <v>1341</v>
      </c>
    </row>
    <row r="9" spans="1:23" ht="18" customHeight="1" x14ac:dyDescent="0.35">
      <c r="A9" s="2" t="s">
        <v>1342</v>
      </c>
      <c r="B9" s="2" t="s">
        <v>1145</v>
      </c>
      <c r="C9" s="2" t="s">
        <v>1327</v>
      </c>
      <c r="D9" s="2" t="s">
        <v>422</v>
      </c>
      <c r="E9" s="2" t="s">
        <v>423</v>
      </c>
      <c r="F9" s="2" t="s">
        <v>424</v>
      </c>
      <c r="G9" s="2" t="s">
        <v>212</v>
      </c>
      <c r="H9" s="2" t="s">
        <v>1343</v>
      </c>
      <c r="I9" s="2" t="s">
        <v>313</v>
      </c>
      <c r="J9" s="2">
        <v>133000</v>
      </c>
      <c r="K9" s="2">
        <v>54.2</v>
      </c>
      <c r="L9" s="2">
        <v>7208600</v>
      </c>
      <c r="M9" s="2">
        <v>885266.67</v>
      </c>
      <c r="N9" s="2">
        <v>7208600</v>
      </c>
      <c r="O9" s="2" t="s">
        <v>1328</v>
      </c>
      <c r="P9" s="2" t="s">
        <v>1329</v>
      </c>
      <c r="Q9" s="2" t="s">
        <v>1330</v>
      </c>
      <c r="R9" s="2" t="s">
        <v>803</v>
      </c>
      <c r="S9" s="2" t="s">
        <v>212</v>
      </c>
      <c r="T9" s="2" t="s">
        <v>1331</v>
      </c>
      <c r="U9" s="2" t="s">
        <v>1344</v>
      </c>
    </row>
    <row r="10" spans="1:23" ht="18" customHeight="1" x14ac:dyDescent="0.35">
      <c r="A10" s="2" t="s">
        <v>1345</v>
      </c>
      <c r="B10" s="2" t="s">
        <v>1157</v>
      </c>
      <c r="C10" s="2" t="s">
        <v>1327</v>
      </c>
      <c r="D10" s="2" t="s">
        <v>426</v>
      </c>
      <c r="E10" s="2" t="s">
        <v>427</v>
      </c>
      <c r="G10" s="2" t="s">
        <v>212</v>
      </c>
      <c r="H10" s="2" t="s">
        <v>1343</v>
      </c>
      <c r="I10" s="2" t="s">
        <v>277</v>
      </c>
      <c r="J10" s="2">
        <v>24150</v>
      </c>
      <c r="K10" s="2">
        <v>49.3</v>
      </c>
      <c r="L10" s="2">
        <v>1190595</v>
      </c>
      <c r="M10" s="2">
        <v>146213.42000000001</v>
      </c>
      <c r="N10" s="2">
        <v>1190595</v>
      </c>
      <c r="O10" s="2" t="s">
        <v>620</v>
      </c>
      <c r="R10" s="2" t="s">
        <v>803</v>
      </c>
      <c r="T10" s="2" t="s">
        <v>620</v>
      </c>
      <c r="U10" s="2" t="s">
        <v>1346</v>
      </c>
    </row>
    <row r="11" spans="1:23" ht="18" customHeight="1" x14ac:dyDescent="0.35">
      <c r="A11" s="2" t="s">
        <v>1347</v>
      </c>
      <c r="B11" s="2" t="s">
        <v>1171</v>
      </c>
      <c r="C11" s="2" t="s">
        <v>1327</v>
      </c>
      <c r="D11" s="2" t="s">
        <v>430</v>
      </c>
      <c r="E11" s="2" t="s">
        <v>431</v>
      </c>
      <c r="F11" s="2" t="s">
        <v>432</v>
      </c>
      <c r="G11" s="2" t="s">
        <v>213</v>
      </c>
      <c r="H11" s="2" t="s">
        <v>1348</v>
      </c>
      <c r="I11" s="2" t="s">
        <v>409</v>
      </c>
      <c r="J11" s="2">
        <v>21760</v>
      </c>
      <c r="K11" s="2">
        <v>63.25</v>
      </c>
      <c r="L11" s="2">
        <v>1376320</v>
      </c>
      <c r="M11" s="2">
        <v>169021.75</v>
      </c>
      <c r="N11" s="2">
        <v>1376320</v>
      </c>
      <c r="O11" s="2" t="s">
        <v>1328</v>
      </c>
      <c r="P11" s="2" t="s">
        <v>1329</v>
      </c>
      <c r="Q11" s="2" t="s">
        <v>1330</v>
      </c>
      <c r="R11" s="2" t="s">
        <v>803</v>
      </c>
      <c r="S11" s="2" t="s">
        <v>213</v>
      </c>
      <c r="T11" s="2" t="s">
        <v>1331</v>
      </c>
      <c r="U11" s="2" t="s">
        <v>1349</v>
      </c>
    </row>
    <row r="12" spans="1:23" ht="18" customHeight="1" x14ac:dyDescent="0.35">
      <c r="A12" s="2" t="s">
        <v>1350</v>
      </c>
      <c r="B12" s="2" t="s">
        <v>1186</v>
      </c>
      <c r="C12" s="2" t="s">
        <v>1327</v>
      </c>
      <c r="D12" s="2" t="s">
        <v>434</v>
      </c>
      <c r="E12" s="2" t="s">
        <v>435</v>
      </c>
      <c r="F12" s="2" t="s">
        <v>437</v>
      </c>
      <c r="G12" s="2" t="s">
        <v>212</v>
      </c>
      <c r="H12" s="2" t="s">
        <v>1343</v>
      </c>
      <c r="I12" s="2" t="s">
        <v>277</v>
      </c>
      <c r="J12" s="2">
        <v>42000</v>
      </c>
      <c r="K12" s="2">
        <v>49.3</v>
      </c>
      <c r="L12" s="2">
        <v>2070600</v>
      </c>
      <c r="M12" s="2">
        <v>254284.21</v>
      </c>
      <c r="N12" s="2">
        <v>2070600</v>
      </c>
      <c r="O12" s="2" t="s">
        <v>1328</v>
      </c>
      <c r="P12" s="2" t="s">
        <v>1329</v>
      </c>
      <c r="Q12" s="2" t="s">
        <v>1330</v>
      </c>
      <c r="R12" s="2" t="s">
        <v>803</v>
      </c>
      <c r="S12" s="2" t="s">
        <v>212</v>
      </c>
      <c r="T12" s="2" t="s">
        <v>1331</v>
      </c>
      <c r="U12" s="2" t="s">
        <v>1351</v>
      </c>
    </row>
    <row r="13" spans="1:23" ht="18" customHeight="1" x14ac:dyDescent="0.35">
      <c r="A13" s="2" t="s">
        <v>1352</v>
      </c>
      <c r="B13" s="2" t="s">
        <v>1203</v>
      </c>
      <c r="C13" s="2" t="s">
        <v>1327</v>
      </c>
      <c r="D13" s="2" t="s">
        <v>418</v>
      </c>
      <c r="E13" s="2" t="s">
        <v>1353</v>
      </c>
      <c r="G13" s="2" t="s">
        <v>214</v>
      </c>
      <c r="H13" s="2" t="s">
        <v>1354</v>
      </c>
      <c r="I13" s="2" t="s">
        <v>313</v>
      </c>
      <c r="J13" s="2">
        <v>38675</v>
      </c>
      <c r="K13" s="2">
        <v>54.4</v>
      </c>
      <c r="L13" s="2">
        <v>2103920</v>
      </c>
      <c r="M13" s="2">
        <v>258376.14</v>
      </c>
      <c r="N13" s="2">
        <v>2103920</v>
      </c>
      <c r="O13" s="2" t="s">
        <v>620</v>
      </c>
      <c r="R13" s="2" t="s">
        <v>803</v>
      </c>
      <c r="T13" s="2" t="s">
        <v>620</v>
      </c>
      <c r="U13" s="2" t="s">
        <v>1355</v>
      </c>
    </row>
  </sheetData>
  <sheetProtection algorithmName="SHA-512" hashValue="rpS9QC0JrKRDo8Mex9BCjpCgTvBFd+TdgWi4YDmNOsI+OFt7fHChhcJHVonaSnlEPNAVe3vsaUtgjtrefjY6/A==" saltValue="SH1BrLrG2P4WParaK7NKdw==" spinCount="100000" sheet="1" objects="1" scenarios="1"/>
  <mergeCells count="2">
    <mergeCell ref="A1:U1"/>
    <mergeCell ref="A2:U2"/>
  </mergeCells>
  <hyperlinks>
    <hyperlink ref="W1" location="DMC_NAVIGATION!A1" display="🏠 Back to Home" xr:uid="{00000000-0004-0000-16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D10"/>
  <sheetViews>
    <sheetView zoomScaleNormal="100" workbookViewId="0"/>
  </sheetViews>
  <sheetFormatPr defaultColWidth="8.6328125" defaultRowHeight="14.5" x14ac:dyDescent="0.35"/>
  <cols>
    <col min="1" max="1" width="42" style="2" customWidth="1"/>
    <col min="2" max="2" width="20" style="2" customWidth="1"/>
    <col min="3" max="3" width="8.6328125" style="2"/>
    <col min="4" max="4" width="16" style="2" customWidth="1"/>
    <col min="5" max="16384" width="8.6328125" style="2"/>
  </cols>
  <sheetData>
    <row r="1" spans="1:4" ht="25.5" customHeight="1" x14ac:dyDescent="0.35">
      <c r="A1" s="26" t="s">
        <v>1356</v>
      </c>
      <c r="B1" s="26"/>
      <c r="D1" s="27" t="s">
        <v>88</v>
      </c>
    </row>
    <row r="2" spans="1:4" ht="19.5" customHeight="1" x14ac:dyDescent="0.35">
      <c r="A2" s="29" t="s">
        <v>1357</v>
      </c>
      <c r="B2" s="29"/>
    </row>
    <row r="3" spans="1:4" ht="31.5" customHeight="1" x14ac:dyDescent="0.35">
      <c r="A3" s="34" t="s">
        <v>1358</v>
      </c>
      <c r="B3" s="34" t="s">
        <v>653</v>
      </c>
    </row>
    <row r="4" spans="1:4" ht="18" customHeight="1" x14ac:dyDescent="0.35">
      <c r="A4" s="71" t="s">
        <v>1359</v>
      </c>
      <c r="B4" s="73">
        <f>-SUMIFS(TB_Trial_Balance!$G$4:$G$48,TB_Trial_Balance!$A$4:$A$48,"4-*")</f>
        <v>21335011.546491228</v>
      </c>
    </row>
    <row r="5" spans="1:4" ht="18" customHeight="1" x14ac:dyDescent="0.35">
      <c r="A5" s="71" t="s">
        <v>1360</v>
      </c>
      <c r="B5" s="73">
        <f>SUMIFS(TB_Trial_Balance!$G$4:$G$48,TB_Trial_Balance!$A$4:$A$48,"5-*")</f>
        <v>17023253.996666666</v>
      </c>
    </row>
    <row r="6" spans="1:4" ht="18" customHeight="1" x14ac:dyDescent="0.35">
      <c r="A6" s="71" t="s">
        <v>1361</v>
      </c>
      <c r="B6" s="73">
        <f>B4-B5</f>
        <v>4311757.5498245619</v>
      </c>
    </row>
    <row r="7" spans="1:4" ht="18" customHeight="1" x14ac:dyDescent="0.35">
      <c r="A7" s="71" t="s">
        <v>1362</v>
      </c>
      <c r="B7" s="73">
        <f>SUMIFS(TB_Trial_Balance!$G$4:$G$48,TB_Trial_Balance!$A$4:$A$48,"6-*")</f>
        <v>50642.450000000004</v>
      </c>
    </row>
    <row r="8" spans="1:4" ht="18" customHeight="1" x14ac:dyDescent="0.35">
      <c r="A8" s="71" t="s">
        <v>1363</v>
      </c>
      <c r="B8" s="73">
        <f>B6-B7</f>
        <v>4261115.0998245617</v>
      </c>
    </row>
    <row r="9" spans="1:4" ht="18" customHeight="1" x14ac:dyDescent="0.35">
      <c r="A9" s="71" t="s">
        <v>1364</v>
      </c>
      <c r="B9" s="73">
        <f>-SUMIFS(TB_Trial_Balance!$G$4:$G$48,TB_Trial_Balance!$A$4:$A$48,"7-*")</f>
        <v>54809.3</v>
      </c>
    </row>
    <row r="10" spans="1:4" ht="18" customHeight="1" x14ac:dyDescent="0.35">
      <c r="A10" s="72" t="s">
        <v>1365</v>
      </c>
      <c r="B10" s="74">
        <f>B8+B9</f>
        <v>4315924.3998245616</v>
      </c>
    </row>
  </sheetData>
  <sheetProtection algorithmName="SHA-512" hashValue="YU+NZdWEDIjw6SJFIq/BRe3mDMbOqQYiRUBp+JnWFew2FylyTo8/4/hMOTVK1+arfBwBLSRpvqQD42ZyBmw3sw==" saltValue="kH4miRQlZOgPd+6cpGF70g==" spinCount="100000" sheet="1" objects="1" scenarios="1"/>
  <mergeCells count="2">
    <mergeCell ref="A1:B1"/>
    <mergeCell ref="A2:B2"/>
  </mergeCells>
  <hyperlinks>
    <hyperlink ref="D1" location="DMC_NAVIGATION!A1" display="🏠 Back to Home" xr:uid="{00000000-0004-0000-17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D9"/>
  <sheetViews>
    <sheetView zoomScaleNormal="100" workbookViewId="0"/>
  </sheetViews>
  <sheetFormatPr defaultColWidth="8.6328125" defaultRowHeight="14.5" x14ac:dyDescent="0.35"/>
  <cols>
    <col min="1" max="1" width="42" style="2" customWidth="1"/>
    <col min="2" max="2" width="20" style="2" customWidth="1"/>
    <col min="3" max="3" width="8.6328125" style="2"/>
    <col min="4" max="4" width="16" style="2" customWidth="1"/>
    <col min="5" max="16384" width="8.6328125" style="2"/>
  </cols>
  <sheetData>
    <row r="1" spans="1:4" ht="25.5" customHeight="1" x14ac:dyDescent="0.35">
      <c r="A1" s="26" t="s">
        <v>1366</v>
      </c>
      <c r="B1" s="26"/>
      <c r="D1" s="27" t="s">
        <v>88</v>
      </c>
    </row>
    <row r="2" spans="1:4" ht="19.5" customHeight="1" x14ac:dyDescent="0.35">
      <c r="A2" s="29" t="s">
        <v>1367</v>
      </c>
      <c r="B2" s="29"/>
    </row>
    <row r="3" spans="1:4" ht="31.5" customHeight="1" x14ac:dyDescent="0.35">
      <c r="A3" s="34" t="s">
        <v>1358</v>
      </c>
      <c r="B3" s="34" t="s">
        <v>653</v>
      </c>
    </row>
    <row r="4" spans="1:4" ht="18" customHeight="1" x14ac:dyDescent="0.35">
      <c r="A4" s="71" t="s">
        <v>1368</v>
      </c>
      <c r="B4" s="73">
        <f>SUMIFS(TB_Trial_Balance!$G$4:$G$48,TB_Trial_Balance!$A$4:$A$48,"1-*")</f>
        <v>7165111.9233333319</v>
      </c>
    </row>
    <row r="5" spans="1:4" ht="18" customHeight="1" x14ac:dyDescent="0.35">
      <c r="A5" s="71" t="s">
        <v>1369</v>
      </c>
      <c r="B5" s="73">
        <f>-SUMIFS(TB_Trial_Balance!$G$4:$G$48,TB_Trial_Balance!$A$4:$A$48,"2-*")</f>
        <v>2849187.5235087695</v>
      </c>
    </row>
    <row r="6" spans="1:4" ht="18" customHeight="1" x14ac:dyDescent="0.35">
      <c r="A6" s="71" t="s">
        <v>1370</v>
      </c>
      <c r="B6" s="73">
        <f>-SUMIFS(TB_Trial_Balance!$G$4:$G$48,TB_Trial_Balance!$A$4:$A$48,"3-*")</f>
        <v>0</v>
      </c>
    </row>
    <row r="7" spans="1:4" ht="18" customHeight="1" x14ac:dyDescent="0.35">
      <c r="A7" s="71" t="s">
        <v>1371</v>
      </c>
      <c r="B7" s="73">
        <f>TB_Income_Statement!B10</f>
        <v>4315924.3998245616</v>
      </c>
    </row>
    <row r="8" spans="1:4" ht="18" customHeight="1" x14ac:dyDescent="0.35">
      <c r="A8" s="71" t="s">
        <v>1372</v>
      </c>
      <c r="B8" s="73">
        <f>B5+B6+B7</f>
        <v>7165111.923333331</v>
      </c>
    </row>
    <row r="9" spans="1:4" ht="18" customHeight="1" x14ac:dyDescent="0.35">
      <c r="A9" s="72" t="s">
        <v>1373</v>
      </c>
      <c r="B9" s="75" t="str">
        <f>IF(ROUND(B4-B8,2)=0,"BALANCED","OUT OF BALANCE")</f>
        <v>BALANCED</v>
      </c>
    </row>
  </sheetData>
  <sheetProtection algorithmName="SHA-512" hashValue="CcflH1R35O0TX7bD9MxXO0Ewd7fKJV5eOPY/LZL3N2FV6mTfDk92LDlFujYp2KOGVKUSin4XLt2kqK97IW/g0Q==" saltValue="GXy4X9JmD07P2Ys0JOcesQ==" spinCount="100000" sheet="1" objects="1" scenarios="1"/>
  <mergeCells count="2">
    <mergeCell ref="A1:B1"/>
    <mergeCell ref="A2:B2"/>
  </mergeCells>
  <hyperlinks>
    <hyperlink ref="D1" location="DMC_NAVIGATION!A1" display="🏠 Back to Home" xr:uid="{00000000-0004-0000-1800-000000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DMC_NAVIGATION</vt:lpstr>
      <vt:lpstr>INDEX_User_Guide</vt:lpstr>
      <vt:lpstr>TB_CBE_Rates</vt:lpstr>
      <vt:lpstr>TB_Suppliers_Master</vt:lpstr>
      <vt:lpstr>TB_Clients_Master</vt:lpstr>
      <vt:lpstr>TB_Hotels_Master</vt:lpstr>
      <vt:lpstr>TB_Reps_Master</vt:lpstr>
      <vt:lpstr>TB_Master_Bookings</vt:lpstr>
      <vt:lpstr>TB_Hotel_Accruals</vt:lpstr>
      <vt:lpstr>TB_Excursions_Sales</vt:lpstr>
      <vt:lpstr>TB_Cash_Rep_Reconciliation</vt:lpstr>
      <vt:lpstr>TB_AP_Invoices</vt:lpstr>
      <vt:lpstr>TB_Bank_Reconciliation</vt:lpstr>
      <vt:lpstr>TB_Budget_vs_Actual</vt:lpstr>
      <vt:lpstr>TB_Audit_Trail</vt:lpstr>
      <vt:lpstr>TB_Dimensions</vt:lpstr>
      <vt:lpstr>TB_Golden_Report</vt:lpstr>
      <vt:lpstr>TB_Migration_Plan</vt:lpstr>
      <vt:lpstr>TB_COA</vt:lpstr>
      <vt:lpstr>TB_General_Journal</vt:lpstr>
      <vt:lpstr>TB_Trial_Balance</vt:lpstr>
      <vt:lpstr>TB_WHT_Quarterly</vt:lpstr>
      <vt:lpstr>TB_ETA_Integration</vt:lpstr>
      <vt:lpstr>TB_Income_Statement</vt:lpstr>
      <vt:lpstr>TB_Balance_Sheet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Omnya Kamal</cp:lastModifiedBy>
  <cp:revision>0</cp:revision>
  <dcterms:created xsi:type="dcterms:W3CDTF">2026-08-10T00:42:22Z</dcterms:created>
  <dcterms:modified xsi:type="dcterms:W3CDTF">2026-08-17T19:20:19Z</dcterms:modified>
  <dc:language>en-US</dc:language>
</cp:coreProperties>
</file>